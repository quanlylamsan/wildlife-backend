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c8\Desktop\wildlife-backend\data\reports\"/>
    </mc:Choice>
  </mc:AlternateContent>
  <xr:revisionPtr revIDLastSave="0" documentId="13_ncr:1_{9D2405AC-5E97-4238-893B-69B0CD60D483}" xr6:coauthVersionLast="47" xr6:coauthVersionMax="47" xr10:uidLastSave="{00000000-0000-0000-0000-000000000000}"/>
  <bookViews>
    <workbookView xWindow="-120" yWindow="-120" windowWidth="29040" windowHeight="15720" xr2:uid="{392C1DEF-C166-45DC-AEBC-4F5BC25CDD96}"/>
  </bookViews>
  <sheets>
    <sheet name="Bieu01" sheetId="2" r:id="rId1"/>
    <sheet name="Bieu02" sheetId="3" r:id="rId2"/>
    <sheet name="Bieu03" sheetId="4" r:id="rId3"/>
    <sheet name="Bieu04" sheetId="5" r:id="rId4"/>
    <sheet name="Bieu05" sheetId="7" r:id="rId5"/>
  </sheets>
  <externalReferences>
    <externalReference r:id="rId6"/>
  </externalReferences>
  <definedNames>
    <definedName name="__bookmark_1">Bieu01!$A$4:$Q$22</definedName>
    <definedName name="_xlnm._FilterDatabase" localSheetId="2" hidden="1">Bieu03!$A$5:$M$30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1" i="7" l="1"/>
  <c r="D71" i="7"/>
  <c r="G70" i="7"/>
  <c r="D70" i="7"/>
  <c r="G69" i="7"/>
  <c r="F69" i="7"/>
  <c r="E69" i="7"/>
  <c r="G68" i="7"/>
  <c r="F68" i="7"/>
  <c r="E68" i="7"/>
  <c r="G66" i="7"/>
  <c r="G65" i="7" s="1"/>
  <c r="F66" i="7"/>
  <c r="E66" i="7"/>
  <c r="E65" i="7" s="1"/>
  <c r="G64" i="7"/>
  <c r="F64" i="7"/>
  <c r="E64" i="7"/>
  <c r="G63" i="7"/>
  <c r="F63" i="7"/>
  <c r="E63" i="7"/>
  <c r="G61" i="7"/>
  <c r="F61" i="7"/>
  <c r="E61" i="7"/>
  <c r="E59" i="7" s="1"/>
  <c r="G60" i="7"/>
  <c r="C60" i="7" s="1"/>
  <c r="G58" i="7"/>
  <c r="C58" i="7" s="1"/>
  <c r="G57" i="7"/>
  <c r="F57" i="7"/>
  <c r="F56" i="7" s="1"/>
  <c r="E57" i="7"/>
  <c r="E56" i="7" s="1"/>
  <c r="G55" i="7"/>
  <c r="F55" i="7"/>
  <c r="E55" i="7"/>
  <c r="G54" i="7"/>
  <c r="F54" i="7"/>
  <c r="E54" i="7"/>
  <c r="E52" i="7"/>
  <c r="D52" i="7" s="1"/>
  <c r="C52" i="7" s="1"/>
  <c r="G51" i="7"/>
  <c r="F51" i="7"/>
  <c r="G50" i="7"/>
  <c r="G48" i="7" s="1"/>
  <c r="F50" i="7"/>
  <c r="F48" i="7" s="1"/>
  <c r="E50" i="7"/>
  <c r="E49" i="7"/>
  <c r="D49" i="7" s="1"/>
  <c r="C49" i="7" s="1"/>
  <c r="G47" i="7"/>
  <c r="F47" i="7"/>
  <c r="F45" i="7" s="1"/>
  <c r="E47" i="7"/>
  <c r="E45" i="7" s="1"/>
  <c r="G46" i="7"/>
  <c r="D46" i="7"/>
  <c r="G44" i="7"/>
  <c r="F44" i="7"/>
  <c r="E44" i="7"/>
  <c r="G43" i="7"/>
  <c r="F43" i="7"/>
  <c r="E43" i="7"/>
  <c r="E42" i="7"/>
  <c r="D42" i="7" s="1"/>
  <c r="C42" i="7" s="1"/>
  <c r="G41" i="7"/>
  <c r="F41" i="7"/>
  <c r="F40" i="7" s="1"/>
  <c r="E41" i="7"/>
  <c r="E39" i="7"/>
  <c r="D39" i="7" s="1"/>
  <c r="G38" i="7"/>
  <c r="F38" i="7"/>
  <c r="E38" i="7"/>
  <c r="G37" i="7"/>
  <c r="F37" i="7"/>
  <c r="E37" i="7"/>
  <c r="G35" i="7"/>
  <c r="F35" i="7"/>
  <c r="E35" i="7"/>
  <c r="G34" i="7"/>
  <c r="F34" i="7"/>
  <c r="E34" i="7"/>
  <c r="G32" i="7"/>
  <c r="G31" i="7" s="1"/>
  <c r="F32" i="7"/>
  <c r="E32" i="7"/>
  <c r="E31" i="7" s="1"/>
  <c r="G30" i="7"/>
  <c r="G29" i="7" s="1"/>
  <c r="F30" i="7"/>
  <c r="F29" i="7" s="1"/>
  <c r="E30" i="7"/>
  <c r="E29" i="7" s="1"/>
  <c r="D29" i="7" s="1"/>
  <c r="G28" i="7"/>
  <c r="F28" i="7"/>
  <c r="E28" i="7"/>
  <c r="G27" i="7"/>
  <c r="F27" i="7"/>
  <c r="E27" i="7"/>
  <c r="G26" i="7"/>
  <c r="F26" i="7"/>
  <c r="E26" i="7"/>
  <c r="D26" i="7" s="1"/>
  <c r="C26" i="7" s="1"/>
  <c r="G24" i="7"/>
  <c r="G23" i="7" s="1"/>
  <c r="F24" i="7"/>
  <c r="F23" i="7" s="1"/>
  <c r="E24" i="7"/>
  <c r="E23" i="7" s="1"/>
  <c r="G22" i="7"/>
  <c r="G21" i="7" s="1"/>
  <c r="F22" i="7"/>
  <c r="F21" i="7" s="1"/>
  <c r="E22" i="7"/>
  <c r="E21" i="7"/>
  <c r="G20" i="7"/>
  <c r="G19" i="7" s="1"/>
  <c r="F20" i="7"/>
  <c r="F19" i="7" s="1"/>
  <c r="E20" i="7"/>
  <c r="E19" i="7"/>
  <c r="E18" i="7"/>
  <c r="D18" i="7" s="1"/>
  <c r="C18" i="7" s="1"/>
  <c r="G17" i="7"/>
  <c r="G16" i="7" s="1"/>
  <c r="F17" i="7"/>
  <c r="F16" i="7" s="1"/>
  <c r="E17" i="7"/>
  <c r="G15" i="7"/>
  <c r="G14" i="7" s="1"/>
  <c r="F15" i="7"/>
  <c r="E15" i="7"/>
  <c r="E14" i="7" s="1"/>
  <c r="G13" i="7"/>
  <c r="F13" i="7"/>
  <c r="E13" i="7"/>
  <c r="G12" i="7"/>
  <c r="F12" i="7"/>
  <c r="E12" i="7"/>
  <c r="G10" i="7"/>
  <c r="G9" i="7" s="1"/>
  <c r="F10" i="7"/>
  <c r="F9" i="7" s="1"/>
  <c r="E10" i="7"/>
  <c r="D10" i="7" s="1"/>
  <c r="C10" i="7" s="1"/>
  <c r="G8" i="7"/>
  <c r="F8" i="7"/>
  <c r="F7" i="7" s="1"/>
  <c r="E8" i="7"/>
  <c r="E7" i="7" s="1"/>
  <c r="G7" i="7"/>
  <c r="M30" i="4"/>
  <c r="D30" i="4"/>
  <c r="M29" i="4"/>
  <c r="D29" i="4"/>
  <c r="M28" i="4"/>
  <c r="D28" i="4"/>
  <c r="M27" i="4"/>
  <c r="D27" i="4"/>
  <c r="M26" i="4"/>
  <c r="D26" i="4"/>
  <c r="M25" i="4"/>
  <c r="D25" i="4"/>
  <c r="M24" i="4"/>
  <c r="D24" i="4"/>
  <c r="M23" i="4"/>
  <c r="D23" i="4"/>
  <c r="M22" i="4"/>
  <c r="D22" i="4"/>
  <c r="M21" i="4"/>
  <c r="D21" i="4"/>
  <c r="M20" i="4"/>
  <c r="D20" i="4"/>
  <c r="M19" i="4"/>
  <c r="D19" i="4"/>
  <c r="M18" i="4"/>
  <c r="D18" i="4"/>
  <c r="M17" i="4"/>
  <c r="D17" i="4"/>
  <c r="M16" i="4"/>
  <c r="D16" i="4"/>
  <c r="M15" i="4"/>
  <c r="D15" i="4"/>
  <c r="M14" i="4"/>
  <c r="D14" i="4"/>
  <c r="M13" i="4"/>
  <c r="D13" i="4"/>
  <c r="M12" i="4"/>
  <c r="D12" i="4"/>
  <c r="M11" i="4"/>
  <c r="D11" i="4"/>
  <c r="M10" i="4"/>
  <c r="D10" i="4"/>
  <c r="M9" i="4"/>
  <c r="D9" i="4"/>
  <c r="L8" i="4"/>
  <c r="K8" i="4"/>
  <c r="J8" i="4"/>
  <c r="I8" i="4"/>
  <c r="H8" i="4"/>
  <c r="G8" i="4"/>
  <c r="F8" i="4"/>
  <c r="E8" i="4"/>
  <c r="D43" i="7" l="1"/>
  <c r="E33" i="7"/>
  <c r="D15" i="7"/>
  <c r="C15" i="7" s="1"/>
  <c r="G11" i="7"/>
  <c r="F36" i="7"/>
  <c r="G56" i="7"/>
  <c r="F67" i="7"/>
  <c r="D32" i="7"/>
  <c r="C32" i="7" s="1"/>
  <c r="D57" i="7"/>
  <c r="C57" i="7" s="1"/>
  <c r="F25" i="7"/>
  <c r="G40" i="7"/>
  <c r="G59" i="7"/>
  <c r="C43" i="7"/>
  <c r="D12" i="7"/>
  <c r="C12" i="7" s="1"/>
  <c r="C70" i="7"/>
  <c r="F62" i="7"/>
  <c r="C71" i="7"/>
  <c r="D45" i="7"/>
  <c r="G53" i="7"/>
  <c r="D17" i="7"/>
  <c r="C17" i="7" s="1"/>
  <c r="D66" i="7"/>
  <c r="C66" i="7" s="1"/>
  <c r="D34" i="7"/>
  <c r="C34" i="7" s="1"/>
  <c r="E67" i="7"/>
  <c r="D28" i="7"/>
  <c r="C28" i="7" s="1"/>
  <c r="D20" i="7"/>
  <c r="C20" i="7" s="1"/>
  <c r="G33" i="7"/>
  <c r="D13" i="7"/>
  <c r="C13" i="7" s="1"/>
  <c r="D63" i="7"/>
  <c r="C63" i="7" s="1"/>
  <c r="D30" i="7"/>
  <c r="C30" i="7" s="1"/>
  <c r="D55" i="7"/>
  <c r="C55" i="7" s="1"/>
  <c r="D21" i="7"/>
  <c r="C21" i="7" s="1"/>
  <c r="D47" i="7"/>
  <c r="C47" i="7" s="1"/>
  <c r="D8" i="4"/>
  <c r="M8" i="4"/>
  <c r="E36" i="7"/>
  <c r="F11" i="7"/>
  <c r="D19" i="7"/>
  <c r="C19" i="7" s="1"/>
  <c r="G36" i="7"/>
  <c r="D38" i="7"/>
  <c r="C38" i="7" s="1"/>
  <c r="D44" i="7"/>
  <c r="C44" i="7" s="1"/>
  <c r="D50" i="7"/>
  <c r="C50" i="7" s="1"/>
  <c r="D56" i="7"/>
  <c r="C56" i="7" s="1"/>
  <c r="D8" i="7"/>
  <c r="C8" i="7" s="1"/>
  <c r="E25" i="7"/>
  <c r="D25" i="7" s="1"/>
  <c r="D68" i="7"/>
  <c r="C68" i="7" s="1"/>
  <c r="G25" i="7"/>
  <c r="C46" i="7"/>
  <c r="G67" i="7"/>
  <c r="E9" i="7"/>
  <c r="D9" i="7" s="1"/>
  <c r="C9" i="7" s="1"/>
  <c r="F14" i="7"/>
  <c r="D14" i="7" s="1"/>
  <c r="C14" i="7" s="1"/>
  <c r="F33" i="7"/>
  <c r="D33" i="7" s="1"/>
  <c r="E53" i="7"/>
  <c r="D41" i="7"/>
  <c r="C41" i="7" s="1"/>
  <c r="F53" i="7"/>
  <c r="D61" i="7"/>
  <c r="C61" i="7" s="1"/>
  <c r="D22" i="7"/>
  <c r="C22" i="7" s="1"/>
  <c r="D35" i="7"/>
  <c r="C35" i="7" s="1"/>
  <c r="E40" i="7"/>
  <c r="D40" i="7" s="1"/>
  <c r="D24" i="7"/>
  <c r="C24" i="7" s="1"/>
  <c r="G62" i="7"/>
  <c r="E11" i="7"/>
  <c r="D23" i="7"/>
  <c r="C23" i="7" s="1"/>
  <c r="D37" i="7"/>
  <c r="C37" i="7" s="1"/>
  <c r="E48" i="7"/>
  <c r="D48" i="7" s="1"/>
  <c r="C48" i="7" s="1"/>
  <c r="D64" i="7"/>
  <c r="C64" i="7" s="1"/>
  <c r="D7" i="7"/>
  <c r="C29" i="7"/>
  <c r="E16" i="7"/>
  <c r="D16" i="7" s="1"/>
  <c r="C16" i="7" s="1"/>
  <c r="D54" i="7"/>
  <c r="C54" i="7" s="1"/>
  <c r="E62" i="7"/>
  <c r="F65" i="7"/>
  <c r="D65" i="7" s="1"/>
  <c r="C65" i="7" s="1"/>
  <c r="D27" i="7"/>
  <c r="C27" i="7" s="1"/>
  <c r="E51" i="7"/>
  <c r="D51" i="7" s="1"/>
  <c r="C51" i="7" s="1"/>
  <c r="D69" i="7"/>
  <c r="C69" i="7" s="1"/>
  <c r="F59" i="7"/>
  <c r="D59" i="7" s="1"/>
  <c r="C59" i="7" s="1"/>
  <c r="F31" i="7"/>
  <c r="D31" i="7" s="1"/>
  <c r="C31" i="7" s="1"/>
  <c r="G45" i="7"/>
  <c r="C40" i="7" l="1"/>
  <c r="D67" i="7"/>
  <c r="D36" i="7"/>
  <c r="C45" i="7"/>
  <c r="C67" i="7"/>
  <c r="C33" i="7"/>
  <c r="D11" i="7"/>
  <c r="C11" i="7" s="1"/>
  <c r="D62" i="7"/>
  <c r="C62" i="7" s="1"/>
  <c r="C25" i="7"/>
  <c r="D53" i="7"/>
  <c r="C53" i="7" s="1"/>
  <c r="G6" i="7"/>
  <c r="C36" i="7"/>
  <c r="F6" i="7"/>
  <c r="D6" i="7"/>
  <c r="C7" i="7"/>
  <c r="C6" i="7" s="1"/>
  <c r="E6" i="7"/>
</calcChain>
</file>

<file path=xl/sharedStrings.xml><?xml version="1.0" encoding="utf-8"?>
<sst xmlns="http://schemas.openxmlformats.org/spreadsheetml/2006/main" count="415" uniqueCount="193">
  <si>
    <t>TT</t>
  </si>
  <si>
    <t>Phân loại rừng</t>
  </si>
  <si>
    <t>Mã</t>
  </si>
  <si>
    <t>Tổng</t>
  </si>
  <si>
    <t>BQL Rừng ĐD</t>
  </si>
  <si>
    <t>BQL rừng PH</t>
  </si>
  <si>
    <t>Tổ chức kinh tế</t>
  </si>
  <si>
    <t>Lực lượng vũ trang (công an)</t>
  </si>
  <si>
    <t>Lực lượng vũ trang (quân đội)</t>
  </si>
  <si>
    <t>Tổ chức KH&amp;CN, ĐT, GD</t>
  </si>
  <si>
    <t>Hộ gia đình, cá nhân trong nước</t>
  </si>
  <si>
    <t>Cộng đồng dân cư</t>
  </si>
  <si>
    <t>Doanh nghiệp đầu tư nước ngoài</t>
  </si>
  <si>
    <t>UBND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</si>
  <si>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</si>
  <si>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</si>
  <si>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</si>
  <si>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</si>
  <si>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</si>
  <si>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</si>
  <si>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</si>
  <si>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</si>
  <si>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</si>
  <si>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</si>
  <si>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</si>
  <si>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</si>
  <si>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</si>
  <si>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</si>
  <si>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Diện tích rừng và diện tích đã trồng cây rừng</t>
  </si>
  <si>
    <t>0000</t>
  </si>
  <si>
    <t>I</t>
  </si>
  <si>
    <t>RỪNG PHÂN THEO NGUỒN GỐC HÌNH THÀNH</t>
  </si>
  <si>
    <t>1100</t>
  </si>
  <si>
    <t>2</t>
  </si>
  <si>
    <t>Rừng trồng</t>
  </si>
  <si>
    <t>1120</t>
  </si>
  <si>
    <t>- Trồng mới trên đất chưa có rừng</t>
  </si>
  <si>
    <t>1121</t>
  </si>
  <si>
    <t>- Trồng lại sau khai thác rừng trồng</t>
  </si>
  <si>
    <t>1122</t>
  </si>
  <si>
    <t>- Tái sinh sau khai thác rừng trồng.</t>
  </si>
  <si>
    <t>1123</t>
  </si>
  <si>
    <t>II</t>
  </si>
  <si>
    <t>RỪNG PHÂN THEO ĐIỀU KIỆN LẬP ĐỊA</t>
  </si>
  <si>
    <t>1200</t>
  </si>
  <si>
    <t>1</t>
  </si>
  <si>
    <t>Rừng núi đất</t>
  </si>
  <si>
    <t>1210</t>
  </si>
  <si>
    <t>Rừng núi đá</t>
  </si>
  <si>
    <t>1220</t>
  </si>
  <si>
    <t>3</t>
  </si>
  <si>
    <t>Rừng ngập nước</t>
  </si>
  <si>
    <t>1230</t>
  </si>
  <si>
    <t>- Rừng ngập mặn</t>
  </si>
  <si>
    <t>1231</t>
  </si>
  <si>
    <t>- Rừng trên đất phèn</t>
  </si>
  <si>
    <t>1232</t>
  </si>
  <si>
    <t>- Rừng ngập nước ngọt</t>
  </si>
  <si>
    <t>1233</t>
  </si>
  <si>
    <t>4</t>
  </si>
  <si>
    <t>Rừng trên cát</t>
  </si>
  <si>
    <t>1240</t>
  </si>
  <si>
    <t>IV</t>
  </si>
  <si>
    <t>DIỆN TÍCH CHƯA THÀNH RỪNG</t>
  </si>
  <si>
    <t>2000</t>
  </si>
  <si>
    <t>Diện tích đã trồng cây rừng</t>
  </si>
  <si>
    <t>2010</t>
  </si>
  <si>
    <t>Diện tích có cây tái sinh</t>
  </si>
  <si>
    <t>2020</t>
  </si>
  <si>
    <t>Diện tích khác</t>
  </si>
  <si>
    <t>2030</t>
  </si>
  <si>
    <t>Diện tích cuối kỳ</t>
  </si>
  <si>
    <t>Đặc dụng</t>
  </si>
  <si>
    <t>Phòng hộ</t>
  </si>
  <si>
    <t>Sản xuất</t>
  </si>
  <si>
    <t>Mục đích khác</t>
  </si>
  <si>
    <t>Cộng</t>
  </si>
  <si>
    <t>Vườn quốc gia</t>
  </si>
  <si>
    <t>Khu dự trữ thiên nhiên</t>
  </si>
  <si>
    <t>Khu bảo tồn loài, sinh cảnh</t>
  </si>
  <si>
    <t>Khu bảo vệ cảnh quan</t>
  </si>
  <si>
    <t>Khu rừng nghiên cứu</t>
  </si>
  <si>
    <t>Đầu nguồn</t>
  </si>
  <si>
    <t>Rừng bảo vệ nguồn nước</t>
  </si>
  <si>
    <t>Rừng phòng hộ biên giới</t>
  </si>
  <si>
    <t>Rừng chắn gió, chắn  cát</t>
  </si>
  <si>
    <t>Rừng chắn sóng, lấn biển</t>
  </si>
  <si>
    <t>(15)</t>
  </si>
  <si>
    <t>(16)</t>
  </si>
  <si>
    <t>(17)</t>
  </si>
  <si>
    <t>(18)</t>
  </si>
  <si>
    <t>(19)</t>
  </si>
  <si>
    <t>(20)</t>
  </si>
  <si>
    <t>III</t>
  </si>
  <si>
    <t>Đơn vị</t>
  </si>
  <si>
    <t>Tổng diện tích tự nhiên</t>
  </si>
  <si>
    <t>Tổng diện tích có rừng</t>
  </si>
  <si>
    <t>Rừng tự nhiên</t>
  </si>
  <si>
    <t>Phân loại theo mục đích sử dụng</t>
  </si>
  <si>
    <t xml:space="preserve">Tỷ lệ che phủ rừng </t>
  </si>
  <si>
    <t>Diện tích đã thành rừng</t>
  </si>
  <si>
    <t>Diện tích đã trồng chưa thành rừng</t>
  </si>
  <si>
    <t>(4) = (5+6+7)</t>
  </si>
  <si>
    <t>(13)=(5+6)*100/(3)</t>
  </si>
  <si>
    <t>Tỉnh Đồng Tháp</t>
  </si>
  <si>
    <t>Xã An Hoà</t>
  </si>
  <si>
    <t>Xã Đốc Binh Kiều</t>
  </si>
  <si>
    <t>Xã Gia Thuận</t>
  </si>
  <si>
    <t>Xã Gò Công Đông</t>
  </si>
  <si>
    <t>Xã Hưng Thạnh</t>
  </si>
  <si>
    <t>Xã Mỹ Hiệp</t>
  </si>
  <si>
    <t>Xã Mỹ Quí</t>
  </si>
  <si>
    <t>Xã Phong Mỹ</t>
  </si>
  <si>
    <t>Xã Phú Cường</t>
  </si>
  <si>
    <t>Xã Phú Thọ</t>
  </si>
  <si>
    <t>Xã Tam Nông</t>
  </si>
  <si>
    <t>Xã Tân Điền</t>
  </si>
  <si>
    <t>Xã Tân Đông</t>
  </si>
  <si>
    <t>Xã Tân Hộ Cơ</t>
  </si>
  <si>
    <t>Xã Tân Hoà</t>
  </si>
  <si>
    <t>Xã Tân Phú Đông</t>
  </si>
  <si>
    <t>Xã Tân Phước 1</t>
  </si>
  <si>
    <t>Xã Tân Phước 2</t>
  </si>
  <si>
    <t>Xã Tân Phước 3</t>
  </si>
  <si>
    <t>Xã Tân Thới</t>
  </si>
  <si>
    <t>Xã Tràm Chim</t>
  </si>
  <si>
    <t>Xã Trường Xuân</t>
  </si>
  <si>
    <t>Diện tích thay đổi</t>
  </si>
  <si>
    <t>Trồng rừng</t>
  </si>
  <si>
    <t>Rừng trồng đủ tiêu chí thành rừng</t>
  </si>
  <si>
    <t>Khoanh nuôi tái sinh đủ tiêu chí thành rừng</t>
  </si>
  <si>
    <t>Khai thác rừng</t>
  </si>
  <si>
    <t>Cháy rừng</t>
  </si>
  <si>
    <t>Phá rừng trái pháp luật, lấn chiếm rừng</t>
  </si>
  <si>
    <t>Chuyển mục đích sử dụng</t>
  </si>
  <si>
    <t xml:space="preserve">Thay đổi do sâu bệnh hại rừng, lốc xoáy, lũ lụt, sạt lở, băng tuyết </t>
  </si>
  <si>
    <t>Cải tạo rừng tự nhiên</t>
  </si>
  <si>
    <t>Nguyên nhân khác tăng diện tích rừng</t>
  </si>
  <si>
    <t>Nguyên nhân khác giảm diện tích rừng</t>
  </si>
  <si>
    <t>Nguyên nhân khác không làm thay đổi diện tích rừng</t>
  </si>
  <si>
    <t>Đơn vị tính: ha</t>
  </si>
  <si>
    <t>Khu rừng/Chủ quản lý</t>
  </si>
  <si>
    <t>Tổng diện tích rừng và đất lâm nghiệp</t>
  </si>
  <si>
    <t>Trong đó</t>
  </si>
  <si>
    <t>Mục đích sử dụng rừng</t>
  </si>
  <si>
    <t>Mục đích sử dụng đất</t>
  </si>
  <si>
    <t>Diện tích đất có rừng</t>
  </si>
  <si>
    <t>Diện tích khác (đất trống, mặt nước)</t>
  </si>
  <si>
    <t>Đã thành rừng</t>
  </si>
  <si>
    <t>Chưa thành rừng</t>
  </si>
  <si>
    <t>Cả tỉnh</t>
  </si>
  <si>
    <t>Rừng phòng hộ biên giới Dinh Bà</t>
  </si>
  <si>
    <t>Rừng phòng hộ</t>
  </si>
  <si>
    <t>Đất rừng phòng hộ</t>
  </si>
  <si>
    <t>Xã An Hòa</t>
  </si>
  <si>
    <t>VQG Tràm Chim</t>
  </si>
  <si>
    <t>Rừng đặc dụng</t>
  </si>
  <si>
    <t>Đất rừng đặc dụng</t>
  </si>
  <si>
    <t>Hộ gia đình, cá nhân</t>
  </si>
  <si>
    <t>Rừng sản xuất</t>
  </si>
  <si>
    <t>Đất rừng sản xuất</t>
  </si>
  <si>
    <t>Nghĩa trang Liệt sỹ (Bộ phận Tam Nông)</t>
  </si>
  <si>
    <t>Rừng trồng ngoài quy hoạch</t>
  </si>
  <si>
    <t>Đất nghĩa trang, nghĩa địa</t>
  </si>
  <si>
    <t>Dự án Hồ rừng</t>
  </si>
  <si>
    <t>Rừng tràm Gáo Giồng</t>
  </si>
  <si>
    <t>Xã Phương Thịnh</t>
  </si>
  <si>
    <t>Rừng PHMS Bắc Tháp Mười</t>
  </si>
  <si>
    <t>Hộ gia đình, cá nhân (rừng trồng ngoài quy hoạch)</t>
  </si>
  <si>
    <t>Đất sản xuất nông nghiệp</t>
  </si>
  <si>
    <t>Khu di tích Gò Tháp</t>
  </si>
  <si>
    <t>Đất có di tích, lịch sử - văn hóa</t>
  </si>
  <si>
    <t>Trại Động Cát</t>
  </si>
  <si>
    <t>Khu di tích Xẻo Quít</t>
  </si>
  <si>
    <t>Phòng Hậu cần - Công an Tỉnh</t>
  </si>
  <si>
    <t>Đất an ninh</t>
  </si>
  <si>
    <t>Uỷ ban nhân dân xã</t>
  </si>
  <si>
    <t xml:space="preserve">Đất quốc phòng </t>
  </si>
  <si>
    <t>Đất quốc phòng</t>
  </si>
  <si>
    <t>Trại giam Phước Hòa</t>
  </si>
  <si>
    <t>Khu bảo tồn sinh thái Đồng Tháp Mười</t>
  </si>
  <si>
    <t>Rừng phòng hộ ven biển</t>
  </si>
  <si>
    <t>Xã Tân Hòa</t>
  </si>
  <si>
    <t>Ủy ban nhân dân xã</t>
  </si>
  <si>
    <t>Nhóm hộ</t>
  </si>
  <si>
    <t>Biểu số 01: Diện tích rừng và diện tích chưa thành rừng phân theo mục đích sử dụng</t>
  </si>
  <si>
    <t>(Kèm theo Quyết định số 553/QĐ-UBND ngày 27 tháng 02  năm 2026 của Chủ tịch UBND tỉnh Đồng Tháp)</t>
  </si>
  <si>
    <t>Biểu 3: Tổng hợp tỷ lệ che phủ rừng</t>
  </si>
  <si>
    <t>Tỷ lệ che phủ rừng: %</t>
  </si>
  <si>
    <t>Diện tích: ha</t>
  </si>
  <si>
    <t>Biểu số 02: Diện tích rừng và diện tích chưa thành rừng phân theo chủ rừng và tổ chức được giao quản lý</t>
  </si>
  <si>
    <t>Biểu 04: Tổng hợp diễn biến diện tích rừng và diện tích chưa thành rừng theo các nguyên nhân</t>
  </si>
  <si>
    <t>Biểu 5. Hiện trạng rừng năm 2025 phân theo đơn vị hành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</si>
</sst>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&quot;###0.0"/>
    <numFmt numFmtId="165" formatCode="&quot;&quot;#,##0.00"/>
    <numFmt numFmtId="166" formatCode="&quot;&quot;#,##0"/>
    <numFmt numFmtId="167" formatCode="&quot;&quot;#,##0.0"/>
    <numFmt numFmtId="168" formatCode="&quot;&quot;###0.00"/>
    <numFmt numFmtId="169" formatCode="0;\-0;\-;@"/>
  </numFmts>
  <fonts count="23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i/>
      <sz val="9"/>
      <color rgb="FF000000"/>
      <name val="Times New Roman"/>
      <family val="1"/>
    </font>
    <font>
      <sz val="11"/>
      <color indexed="8"/>
      <name val="Calibri"/>
      <family val="2"/>
      <scheme val="minor"/>
    </font>
    <font>
      <sz val="9"/>
      <color indexed="8"/>
      <name val="Times New Roman"/>
      <family val="1"/>
    </font>
    <font>
      <sz val="10"/>
      <color rgb="FF000000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i/>
      <sz val="9"/>
      <color rgb="FF000000"/>
      <name val="Times New Roman"/>
      <family val="1"/>
    </font>
    <font>
      <sz val="10"/>
      <name val="Arial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1"/>
      <color rgb="FF0000FF"/>
      <name val="Times New Roman"/>
      <family val="1"/>
    </font>
    <font>
      <i/>
      <sz val="11"/>
      <color rgb="FF0000FF"/>
      <name val="Times New Roman"/>
      <family val="1"/>
    </font>
    <font>
      <sz val="11"/>
      <color rgb="FF0000FF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7">
    <xf numFmtId="0" fontId="0" fillId="0" borderId="0"/>
    <xf numFmtId="0" fontId="5" fillId="0" borderId="0"/>
    <xf numFmtId="0" fontId="7" fillId="0" borderId="0"/>
    <xf numFmtId="43" fontId="7" fillId="0" borderId="0" applyFont="0" applyFill="0" applyBorder="0" applyAlignment="0" applyProtection="0"/>
    <xf numFmtId="0" fontId="5" fillId="0" borderId="0"/>
    <xf numFmtId="0" fontId="12" fillId="0" borderId="0"/>
    <xf numFmtId="43" fontId="16" fillId="0" borderId="0" applyFont="0" applyFill="0" applyBorder="0" applyAlignment="0" applyProtection="0"/>
  </cellStyleXfs>
  <cellXfs count="128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6" fillId="0" borderId="0" xfId="1" applyFont="1"/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1" fillId="0" borderId="1" xfId="1" applyFont="1" applyBorder="1" applyAlignment="1">
      <alignment horizontal="right" vertical="center"/>
    </xf>
    <xf numFmtId="0" fontId="1" fillId="0" borderId="1" xfId="1" applyFont="1" applyBorder="1" applyAlignment="1">
      <alignment horizontal="left" vertical="center" wrapText="1"/>
    </xf>
    <xf numFmtId="165" fontId="1" fillId="0" borderId="1" xfId="1" applyNumberFormat="1" applyFont="1" applyBorder="1" applyAlignment="1">
      <alignment horizontal="right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 wrapText="1"/>
    </xf>
    <xf numFmtId="165" fontId="3" fillId="0" borderId="1" xfId="1" applyNumberFormat="1" applyFont="1" applyBorder="1" applyAlignment="1">
      <alignment horizontal="right" vertical="center"/>
    </xf>
    <xf numFmtId="0" fontId="3" fillId="0" borderId="1" xfId="1" applyFont="1" applyBorder="1" applyAlignment="1">
      <alignment horizontal="right" vertical="center"/>
    </xf>
    <xf numFmtId="0" fontId="4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1" fillId="0" borderId="1" xfId="1" applyFont="1" applyBorder="1" applyAlignment="1">
      <alignment vertical="center"/>
    </xf>
    <xf numFmtId="164" fontId="3" fillId="0" borderId="1" xfId="1" applyNumberFormat="1" applyFont="1" applyBorder="1" applyAlignment="1">
      <alignment horizontal="center" vertical="center"/>
    </xf>
    <xf numFmtId="165" fontId="1" fillId="0" borderId="4" xfId="1" applyNumberFormat="1" applyFont="1" applyBorder="1" applyAlignment="1">
      <alignment horizontal="right" vertical="center"/>
    </xf>
    <xf numFmtId="165" fontId="1" fillId="0" borderId="5" xfId="1" applyNumberFormat="1" applyFont="1" applyBorder="1" applyAlignment="1">
      <alignment horizontal="right" vertical="center"/>
    </xf>
    <xf numFmtId="0" fontId="3" fillId="0" borderId="1" xfId="1" applyFont="1" applyBorder="1" applyAlignment="1">
      <alignment horizontal="left" vertical="center"/>
    </xf>
    <xf numFmtId="165" fontId="3" fillId="0" borderId="4" xfId="1" applyNumberFormat="1" applyFont="1" applyBorder="1" applyAlignment="1">
      <alignment horizontal="right" vertical="center"/>
    </xf>
    <xf numFmtId="165" fontId="3" fillId="0" borderId="5" xfId="1" applyNumberFormat="1" applyFont="1" applyBorder="1" applyAlignment="1">
      <alignment horizontal="right" vertical="center"/>
    </xf>
    <xf numFmtId="0" fontId="3" fillId="0" borderId="1" xfId="1" applyFont="1" applyBorder="1" applyAlignment="1">
      <alignment vertical="center"/>
    </xf>
    <xf numFmtId="0" fontId="9" fillId="0" borderId="0" xfId="2" applyFont="1"/>
    <xf numFmtId="0" fontId="8" fillId="0" borderId="1" xfId="2" applyFont="1" applyBorder="1" applyAlignment="1">
      <alignment horizontal="center" vertical="center" wrapText="1"/>
    </xf>
    <xf numFmtId="37" fontId="10" fillId="0" borderId="1" xfId="2" applyNumberFormat="1" applyFont="1" applyBorder="1" applyAlignment="1">
      <alignment horizontal="center" vertical="center"/>
    </xf>
    <xf numFmtId="37" fontId="10" fillId="0" borderId="3" xfId="2" applyNumberFormat="1" applyFont="1" applyBorder="1" applyAlignment="1">
      <alignment horizontal="center" vertical="center"/>
    </xf>
    <xf numFmtId="0" fontId="3" fillId="0" borderId="1" xfId="2" applyFont="1" applyBorder="1"/>
    <xf numFmtId="0" fontId="1" fillId="0" borderId="1" xfId="2" applyFont="1" applyBorder="1" applyAlignment="1">
      <alignment horizontal="center" vertical="center"/>
    </xf>
    <xf numFmtId="166" fontId="1" fillId="0" borderId="1" xfId="2" applyNumberFormat="1" applyFont="1" applyBorder="1" applyAlignment="1">
      <alignment vertical="center"/>
    </xf>
    <xf numFmtId="165" fontId="1" fillId="0" borderId="1" xfId="2" applyNumberFormat="1" applyFont="1" applyBorder="1" applyAlignment="1">
      <alignment horizontal="right" vertical="center"/>
    </xf>
    <xf numFmtId="2" fontId="1" fillId="0" borderId="4" xfId="2" applyNumberFormat="1" applyFont="1" applyBorder="1" applyAlignment="1">
      <alignment horizontal="right" vertical="center"/>
    </xf>
    <xf numFmtId="0" fontId="8" fillId="0" borderId="5" xfId="2" applyFont="1" applyBorder="1"/>
    <xf numFmtId="0" fontId="3" fillId="0" borderId="0" xfId="2" applyFont="1" applyAlignment="1">
      <alignment horizontal="center" vertical="center"/>
    </xf>
    <xf numFmtId="167" fontId="2" fillId="0" borderId="1" xfId="2" applyNumberFormat="1" applyFont="1" applyBorder="1" applyAlignment="1">
      <alignment vertical="center"/>
    </xf>
    <xf numFmtId="166" fontId="2" fillId="0" borderId="1" xfId="2" applyNumberFormat="1" applyFont="1" applyBorder="1" applyAlignment="1">
      <alignment vertical="center"/>
    </xf>
    <xf numFmtId="4" fontId="2" fillId="0" borderId="1" xfId="2" applyNumberFormat="1" applyFont="1" applyBorder="1" applyAlignment="1">
      <alignment horizontal="right" vertical="center"/>
    </xf>
    <xf numFmtId="4" fontId="2" fillId="0" borderId="1" xfId="3" applyNumberFormat="1" applyFont="1" applyFill="1" applyBorder="1" applyAlignment="1">
      <alignment horizontal="right" vertical="center"/>
    </xf>
    <xf numFmtId="4" fontId="2" fillId="0" borderId="4" xfId="3" applyNumberFormat="1" applyFont="1" applyFill="1" applyBorder="1" applyAlignment="1">
      <alignment horizontal="right" vertical="center"/>
    </xf>
    <xf numFmtId="0" fontId="9" fillId="0" borderId="5" xfId="2" applyFont="1" applyBorder="1"/>
    <xf numFmtId="0" fontId="3" fillId="0" borderId="1" xfId="2" applyFont="1" applyBorder="1" applyAlignment="1">
      <alignment horizontal="center" vertical="center"/>
    </xf>
    <xf numFmtId="0" fontId="3" fillId="0" borderId="1" xfId="4" applyFont="1" applyBorder="1" applyAlignment="1">
      <alignment vertical="center"/>
    </xf>
    <xf numFmtId="166" fontId="3" fillId="0" borderId="1" xfId="4" applyNumberFormat="1" applyFont="1" applyBorder="1" applyAlignment="1">
      <alignment vertical="center"/>
    </xf>
    <xf numFmtId="165" fontId="2" fillId="0" borderId="1" xfId="4" applyNumberFormat="1" applyFont="1" applyBorder="1" applyAlignment="1">
      <alignment horizontal="right" vertical="center"/>
    </xf>
    <xf numFmtId="165" fontId="2" fillId="0" borderId="4" xfId="4" applyNumberFormat="1" applyFont="1" applyBorder="1" applyAlignment="1">
      <alignment horizontal="right" vertical="center"/>
    </xf>
    <xf numFmtId="167" fontId="3" fillId="0" borderId="1" xfId="2" applyNumberFormat="1" applyFont="1" applyBorder="1" applyAlignment="1">
      <alignment vertical="center"/>
    </xf>
    <xf numFmtId="166" fontId="3" fillId="0" borderId="1" xfId="2" applyNumberFormat="1" applyFont="1" applyBorder="1" applyAlignment="1">
      <alignment vertical="center"/>
    </xf>
    <xf numFmtId="165" fontId="3" fillId="0" borderId="1" xfId="2" applyNumberFormat="1" applyFont="1" applyBorder="1" applyAlignment="1">
      <alignment horizontal="right" vertical="center"/>
    </xf>
    <xf numFmtId="0" fontId="3" fillId="0" borderId="1" xfId="2" applyFont="1" applyBorder="1" applyAlignment="1">
      <alignment horizontal="right"/>
    </xf>
    <xf numFmtId="165" fontId="3" fillId="0" borderId="4" xfId="2" applyNumberFormat="1" applyFont="1" applyBorder="1" applyAlignment="1">
      <alignment horizontal="right" vertical="center"/>
    </xf>
    <xf numFmtId="39" fontId="2" fillId="0" borderId="1" xfId="4" applyNumberFormat="1" applyFont="1" applyBorder="1" applyAlignment="1">
      <alignment vertical="center"/>
    </xf>
    <xf numFmtId="166" fontId="2" fillId="0" borderId="1" xfId="4" applyNumberFormat="1" applyFont="1" applyBorder="1" applyAlignment="1">
      <alignment vertical="center"/>
    </xf>
    <xf numFmtId="39" fontId="2" fillId="0" borderId="1" xfId="3" applyNumberFormat="1" applyFont="1" applyFill="1" applyBorder="1" applyAlignment="1">
      <alignment horizontal="right" vertical="center"/>
    </xf>
    <xf numFmtId="39" fontId="2" fillId="0" borderId="4" xfId="3" applyNumberFormat="1" applyFont="1" applyFill="1" applyBorder="1" applyAlignment="1">
      <alignment horizontal="right" vertical="center"/>
    </xf>
    <xf numFmtId="167" fontId="3" fillId="0" borderId="1" xfId="4" applyNumberFormat="1" applyFont="1" applyBorder="1" applyAlignment="1">
      <alignment vertical="center"/>
    </xf>
    <xf numFmtId="39" fontId="2" fillId="0" borderId="1" xfId="3" quotePrefix="1" applyNumberFormat="1" applyFont="1" applyFill="1" applyBorder="1" applyAlignment="1">
      <alignment horizontal="right" vertical="center"/>
    </xf>
    <xf numFmtId="39" fontId="2" fillId="0" borderId="4" xfId="3" quotePrefix="1" applyNumberFormat="1" applyFont="1" applyFill="1" applyBorder="1" applyAlignment="1">
      <alignment horizontal="right" vertical="center"/>
    </xf>
    <xf numFmtId="4" fontId="2" fillId="0" borderId="0" xfId="3" applyNumberFormat="1" applyFont="1" applyFill="1" applyBorder="1" applyAlignment="1">
      <alignment horizontal="right" vertical="center"/>
    </xf>
    <xf numFmtId="167" fontId="2" fillId="0" borderId="7" xfId="2" applyNumberFormat="1" applyFont="1" applyBorder="1" applyAlignment="1">
      <alignment vertical="center"/>
    </xf>
    <xf numFmtId="166" fontId="2" fillId="0" borderId="7" xfId="2" applyNumberFormat="1" applyFont="1" applyBorder="1" applyAlignment="1">
      <alignment vertical="center"/>
    </xf>
    <xf numFmtId="167" fontId="3" fillId="0" borderId="7" xfId="4" applyNumberFormat="1" applyFont="1" applyBorder="1" applyAlignment="1">
      <alignment vertical="center"/>
    </xf>
    <xf numFmtId="168" fontId="1" fillId="0" borderId="1" xfId="1" applyNumberFormat="1" applyFont="1" applyBorder="1" applyAlignment="1">
      <alignment horizontal="center" vertical="center"/>
    </xf>
    <xf numFmtId="168" fontId="11" fillId="0" borderId="1" xfId="1" applyNumberFormat="1" applyFont="1" applyBorder="1" applyAlignment="1">
      <alignment horizontal="center" vertical="center"/>
    </xf>
    <xf numFmtId="168" fontId="3" fillId="0" borderId="1" xfId="1" applyNumberFormat="1" applyFont="1" applyBorder="1" applyAlignment="1">
      <alignment horizontal="center" vertical="center"/>
    </xf>
    <xf numFmtId="0" fontId="12" fillId="0" borderId="0" xfId="5"/>
    <xf numFmtId="169" fontId="15" fillId="0" borderId="0" xfId="5" applyNumberFormat="1" applyFont="1"/>
    <xf numFmtId="169" fontId="15" fillId="0" borderId="0" xfId="5" applyNumberFormat="1" applyFont="1" applyAlignment="1">
      <alignment horizontal="center"/>
    </xf>
    <xf numFmtId="169" fontId="14" fillId="0" borderId="0" xfId="5" applyNumberFormat="1" applyFont="1" applyAlignment="1">
      <alignment horizontal="right"/>
    </xf>
    <xf numFmtId="169" fontId="13" fillId="0" borderId="5" xfId="5" applyNumberFormat="1" applyFont="1" applyBorder="1" applyAlignment="1">
      <alignment horizontal="center" vertical="center"/>
    </xf>
    <xf numFmtId="169" fontId="13" fillId="0" borderId="5" xfId="5" applyNumberFormat="1" applyFont="1" applyBorder="1" applyAlignment="1">
      <alignment horizontal="center" vertical="center" wrapText="1"/>
    </xf>
    <xf numFmtId="169" fontId="13" fillId="0" borderId="5" xfId="5" applyNumberFormat="1" applyFont="1" applyBorder="1" applyAlignment="1">
      <alignment vertical="center"/>
    </xf>
    <xf numFmtId="43" fontId="13" fillId="0" borderId="5" xfId="6" applyFont="1" applyFill="1" applyBorder="1" applyAlignment="1">
      <alignment horizontal="right" vertical="center" wrapText="1"/>
    </xf>
    <xf numFmtId="0" fontId="13" fillId="0" borderId="5" xfId="5" applyFont="1" applyBorder="1" applyAlignment="1">
      <alignment horizontal="center" vertical="center"/>
    </xf>
    <xf numFmtId="169" fontId="17" fillId="0" borderId="5" xfId="5" applyNumberFormat="1" applyFont="1" applyBorder="1" applyAlignment="1">
      <alignment horizontal="center" vertical="center"/>
    </xf>
    <xf numFmtId="169" fontId="17" fillId="0" borderId="5" xfId="5" applyNumberFormat="1" applyFont="1" applyBorder="1" applyAlignment="1">
      <alignment vertical="center"/>
    </xf>
    <xf numFmtId="43" fontId="17" fillId="0" borderId="5" xfId="6" applyFont="1" applyFill="1" applyBorder="1" applyAlignment="1">
      <alignment horizontal="right" vertical="center" wrapText="1"/>
    </xf>
    <xf numFmtId="0" fontId="17" fillId="0" borderId="5" xfId="5" applyFont="1" applyBorder="1" applyAlignment="1">
      <alignment horizontal="center" vertical="center"/>
    </xf>
    <xf numFmtId="169" fontId="15" fillId="0" borderId="5" xfId="5" applyNumberFormat="1" applyFont="1" applyBorder="1" applyAlignment="1">
      <alignment horizontal="center" vertical="center"/>
    </xf>
    <xf numFmtId="169" fontId="15" fillId="0" borderId="5" xfId="5" applyNumberFormat="1" applyFont="1" applyBorder="1" applyAlignment="1">
      <alignment horizontal="left" vertical="center" wrapText="1"/>
    </xf>
    <xf numFmtId="43" fontId="15" fillId="0" borderId="5" xfId="6" applyFont="1" applyFill="1" applyBorder="1" applyAlignment="1">
      <alignment horizontal="right" vertical="center" wrapText="1"/>
    </xf>
    <xf numFmtId="0" fontId="15" fillId="0" borderId="5" xfId="5" applyFont="1" applyBorder="1" applyAlignment="1">
      <alignment horizontal="center" vertical="center" wrapText="1"/>
    </xf>
    <xf numFmtId="0" fontId="18" fillId="0" borderId="5" xfId="5" applyFont="1" applyBorder="1" applyAlignment="1">
      <alignment horizontal="center" vertical="center" wrapText="1"/>
    </xf>
    <xf numFmtId="169" fontId="15" fillId="0" borderId="5" xfId="5" applyNumberFormat="1" applyFont="1" applyBorder="1" applyAlignment="1">
      <alignment horizontal="center" vertical="center" wrapText="1"/>
    </xf>
    <xf numFmtId="169" fontId="15" fillId="0" borderId="8" xfId="5" applyNumberFormat="1" applyFont="1" applyBorder="1" applyAlignment="1">
      <alignment horizontal="center" vertical="center" wrapText="1"/>
    </xf>
    <xf numFmtId="169" fontId="15" fillId="0" borderId="8" xfId="5" applyNumberFormat="1" applyFont="1" applyBorder="1" applyAlignment="1">
      <alignment horizontal="left" vertical="center" wrapText="1"/>
    </xf>
    <xf numFmtId="43" fontId="15" fillId="0" borderId="8" xfId="6" applyFont="1" applyFill="1" applyBorder="1" applyAlignment="1">
      <alignment horizontal="right" vertical="center" wrapText="1"/>
    </xf>
    <xf numFmtId="0" fontId="19" fillId="0" borderId="5" xfId="5" applyFont="1" applyBorder="1" applyAlignment="1">
      <alignment horizontal="center" vertical="center" wrapText="1"/>
    </xf>
    <xf numFmtId="169" fontId="19" fillId="0" borderId="5" xfId="5" applyNumberFormat="1" applyFont="1" applyBorder="1" applyAlignment="1">
      <alignment horizontal="center"/>
    </xf>
    <xf numFmtId="43" fontId="15" fillId="0" borderId="5" xfId="5" applyNumberFormat="1" applyFont="1" applyBorder="1" applyAlignment="1">
      <alignment horizontal="right" vertical="center" wrapText="1"/>
    </xf>
    <xf numFmtId="169" fontId="15" fillId="0" borderId="5" xfId="5" applyNumberFormat="1" applyFont="1" applyBorder="1" applyAlignment="1">
      <alignment vertical="center" wrapText="1"/>
    </xf>
    <xf numFmtId="169" fontId="20" fillId="0" borderId="5" xfId="5" applyNumberFormat="1" applyFont="1" applyBorder="1" applyAlignment="1">
      <alignment horizontal="center" vertical="center"/>
    </xf>
    <xf numFmtId="169" fontId="21" fillId="0" borderId="5" xfId="5" applyNumberFormat="1" applyFont="1" applyBorder="1" applyAlignment="1">
      <alignment horizontal="left" vertical="center" wrapText="1"/>
    </xf>
    <xf numFmtId="43" fontId="21" fillId="0" borderId="5" xfId="6" applyFont="1" applyFill="1" applyBorder="1" applyAlignment="1">
      <alignment horizontal="right" vertical="center" wrapText="1"/>
    </xf>
    <xf numFmtId="0" fontId="21" fillId="0" borderId="5" xfId="5" applyFont="1" applyBorder="1" applyAlignment="1">
      <alignment horizontal="center" vertical="center" wrapText="1"/>
    </xf>
    <xf numFmtId="169" fontId="15" fillId="0" borderId="5" xfId="5" applyNumberFormat="1" applyFont="1" applyBorder="1" applyAlignment="1">
      <alignment vertical="center"/>
    </xf>
    <xf numFmtId="43" fontId="15" fillId="0" borderId="5" xfId="6" applyFont="1" applyFill="1" applyBorder="1" applyAlignment="1">
      <alignment horizontal="center" vertical="center" wrapText="1"/>
    </xf>
    <xf numFmtId="0" fontId="19" fillId="0" borderId="5" xfId="5" applyFont="1" applyBorder="1" applyAlignment="1">
      <alignment horizontal="center"/>
    </xf>
    <xf numFmtId="0" fontId="15" fillId="0" borderId="5" xfId="5" applyFont="1" applyBorder="1" applyAlignment="1">
      <alignment horizontal="center"/>
    </xf>
    <xf numFmtId="43" fontId="15" fillId="0" borderId="0" xfId="5" applyNumberFormat="1" applyFont="1" applyAlignment="1">
      <alignment horizontal="right" vertical="center"/>
    </xf>
    <xf numFmtId="43" fontId="14" fillId="0" borderId="5" xfId="6" applyFont="1" applyFill="1" applyBorder="1" applyAlignment="1">
      <alignment horizontal="right" vertical="center" wrapText="1"/>
    </xf>
    <xf numFmtId="43" fontId="15" fillId="0" borderId="5" xfId="5" applyNumberFormat="1" applyFont="1" applyBorder="1" applyAlignment="1">
      <alignment horizontal="right" vertical="center"/>
    </xf>
    <xf numFmtId="169" fontId="15" fillId="0" borderId="5" xfId="5" applyNumberFormat="1" applyFont="1" applyBorder="1" applyAlignment="1">
      <alignment horizontal="center"/>
    </xf>
    <xf numFmtId="169" fontId="13" fillId="0" borderId="5" xfId="5" applyNumberFormat="1" applyFont="1" applyBorder="1" applyAlignment="1">
      <alignment horizontal="center" vertical="center" wrapText="1"/>
    </xf>
    <xf numFmtId="169" fontId="13" fillId="0" borderId="0" xfId="5" applyNumberFormat="1" applyFont="1" applyAlignment="1">
      <alignment horizontal="center" vertical="center"/>
    </xf>
    <xf numFmtId="169" fontId="13" fillId="0" borderId="5" xfId="5" applyNumberFormat="1" applyFont="1" applyBorder="1" applyAlignment="1">
      <alignment horizontal="center" vertical="center"/>
    </xf>
    <xf numFmtId="0" fontId="13" fillId="0" borderId="5" xfId="5" applyFont="1" applyBorder="1" applyAlignment="1">
      <alignment horizontal="center" vertical="center" wrapText="1"/>
    </xf>
    <xf numFmtId="0" fontId="1" fillId="0" borderId="9" xfId="1" applyFont="1" applyBorder="1" applyAlignment="1">
      <alignment horizontal="center" vertical="center" wrapText="1"/>
    </xf>
    <xf numFmtId="0" fontId="2" fillId="0" borderId="2" xfId="1" applyFont="1" applyBorder="1"/>
    <xf numFmtId="0" fontId="22" fillId="0" borderId="0" xfId="1" applyFont="1" applyAlignment="1">
      <alignment horizont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center"/>
    </xf>
    <xf numFmtId="0" fontId="1" fillId="0" borderId="9" xfId="1" applyFont="1" applyBorder="1" applyAlignment="1">
      <alignment horizontal="center" vertical="center"/>
    </xf>
    <xf numFmtId="0" fontId="2" fillId="0" borderId="10" xfId="1" applyFont="1" applyBorder="1"/>
    <xf numFmtId="0" fontId="2" fillId="0" borderId="11" xfId="1" applyFont="1" applyBorder="1"/>
    <xf numFmtId="0" fontId="1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8" fillId="0" borderId="0" xfId="2" applyFont="1" applyAlignment="1">
      <alignment horizont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right"/>
    </xf>
    <xf numFmtId="0" fontId="8" fillId="0" borderId="4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3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22" fillId="0" borderId="0" xfId="1" applyFont="1" applyBorder="1" applyAlignment="1">
      <alignment horizontal="center"/>
    </xf>
    <xf numFmtId="0" fontId="6" fillId="0" borderId="0" xfId="1" applyFont="1" applyBorder="1" applyAlignment="1">
      <alignment horizontal="center"/>
    </xf>
    <xf numFmtId="0" fontId="6" fillId="0" borderId="0" xfId="1" applyFont="1" applyBorder="1" applyAlignment="1">
      <alignment horizontal="right"/>
    </xf>
  </cellXfs>
  <cellStyles count="7">
    <cellStyle name="Comma 2" xfId="3" xr:uid="{4480550B-7C20-46AA-A7B4-FD8FD75E7D54}"/>
    <cellStyle name="Comma 4" xfId="6" xr:uid="{95075AC9-47F4-444E-B681-5DA6FCD08A2B}"/>
    <cellStyle name="Normal" xfId="0" builtinId="0"/>
    <cellStyle name="Normal 2" xfId="1" xr:uid="{27A8EF50-6753-429B-969F-F1436EAF121B}"/>
    <cellStyle name="Normal 2 2" xfId="2" xr:uid="{405DF00E-9DA3-4955-9E8C-6E2EC027627C}"/>
    <cellStyle name="Normal 2 2 2" xfId="4" xr:uid="{DFC42D2D-F18D-49F9-A0FD-C98149D2EDC0}"/>
    <cellStyle name="Normal 3" xfId="5" xr:uid="{2CCB1E82-34E0-49F9-8B50-DBB2B5210F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&#272;%20Hientrangrung%20nam%202025/Tinh%20Dong%20Thap/2025/Bieu%20chi%20tiet%20kem%20theo%20bao%20cao%20SNN.xls" TargetMode="External"/><Relationship Id="rId2" Type="http://schemas.openxmlformats.org/officeDocument/2006/relationships/externalLinkPath" Target="file:///C:\Users\phuc8\Desktop\Q&#272;%20Hientrangrung%20nam%202025\Tinh%20Dong%20Thap\2025\Bieu%20chi%20tiet%20kem%20theo%20bao%20cao%20SNN.xls" TargetMode="External"/><Relationship Id="rId1" Type="http://schemas.openxmlformats.org/officeDocument/2006/relationships/externalLinkPath" Target="/Users/phuc8/Desktop/Q&#272;%20Hientrangrung%20nam%202025/Tinh%20Dong%20Thap/2025/Bieu%20chi%20tiet%20kem%20theo%20bao%20cao%20SN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1-HTR-MDSD"/>
      <sheetName val="B2-HTR-HC"/>
      <sheetName val="B3-DS HGĐ"/>
      <sheetName val="B4-DBR"/>
    </sheetNames>
    <sheetDataSet>
      <sheetData sheetId="0">
        <row r="10">
          <cell r="E10">
            <v>811.69</v>
          </cell>
          <cell r="F10">
            <v>0</v>
          </cell>
          <cell r="G10">
            <v>1588.5100000000002</v>
          </cell>
        </row>
        <row r="11">
          <cell r="E11">
            <v>541.62</v>
          </cell>
          <cell r="G11">
            <v>1601.86</v>
          </cell>
        </row>
        <row r="12">
          <cell r="E12">
            <v>1091.43</v>
          </cell>
          <cell r="F12">
            <v>27.75</v>
          </cell>
          <cell r="G12">
            <v>812.92000000000007</v>
          </cell>
        </row>
        <row r="13">
          <cell r="E13">
            <v>86.12</v>
          </cell>
          <cell r="F13">
            <v>0</v>
          </cell>
          <cell r="G13">
            <v>750.06</v>
          </cell>
        </row>
        <row r="15">
          <cell r="E15">
            <v>34.460000000000008</v>
          </cell>
          <cell r="F15">
            <v>0.71</v>
          </cell>
          <cell r="G15">
            <v>26.69</v>
          </cell>
        </row>
        <row r="16">
          <cell r="E16">
            <v>122.41</v>
          </cell>
          <cell r="F16">
            <v>0.37</v>
          </cell>
          <cell r="G16">
            <v>156.82</v>
          </cell>
        </row>
        <row r="18">
          <cell r="E18">
            <v>38.68</v>
          </cell>
          <cell r="F18">
            <v>0.85000000000000142</v>
          </cell>
          <cell r="G18">
            <v>7.8599999999999977</v>
          </cell>
        </row>
        <row r="19">
          <cell r="E19">
            <v>484.01000000000005</v>
          </cell>
          <cell r="F19">
            <v>217.41999999999996</v>
          </cell>
          <cell r="G19">
            <v>332.54</v>
          </cell>
        </row>
        <row r="21">
          <cell r="E21">
            <v>51.66</v>
          </cell>
          <cell r="F21">
            <v>3.7600000000000016</v>
          </cell>
          <cell r="G21">
            <v>52.09</v>
          </cell>
        </row>
        <row r="23">
          <cell r="E23">
            <v>60.95</v>
          </cell>
        </row>
        <row r="24">
          <cell r="E24">
            <v>207.8</v>
          </cell>
          <cell r="G24">
            <v>298.57</v>
          </cell>
        </row>
        <row r="25">
          <cell r="E25">
            <v>12.1</v>
          </cell>
          <cell r="G25">
            <v>562.91999999999996</v>
          </cell>
        </row>
        <row r="26">
          <cell r="E26">
            <v>75.03</v>
          </cell>
          <cell r="G26">
            <v>437</v>
          </cell>
        </row>
        <row r="27">
          <cell r="E27">
            <v>23.08</v>
          </cell>
        </row>
        <row r="28">
          <cell r="E28">
            <v>692.13</v>
          </cell>
          <cell r="F28">
            <v>0.45</v>
          </cell>
          <cell r="G28">
            <v>132.66999999999999</v>
          </cell>
        </row>
        <row r="30">
          <cell r="G30">
            <v>50.48</v>
          </cell>
        </row>
        <row r="31">
          <cell r="F31">
            <v>2.94</v>
          </cell>
          <cell r="G31">
            <v>19.739999999999998</v>
          </cell>
        </row>
        <row r="32">
          <cell r="E32">
            <v>156.44999999999999</v>
          </cell>
          <cell r="F32">
            <v>2.91</v>
          </cell>
          <cell r="G32">
            <v>1213.32</v>
          </cell>
        </row>
        <row r="33">
          <cell r="E33">
            <v>24.36</v>
          </cell>
        </row>
        <row r="35">
          <cell r="E35">
            <v>86.740000000000009</v>
          </cell>
          <cell r="F35">
            <v>12.850000000000001</v>
          </cell>
          <cell r="G35">
            <v>79.689999999999984</v>
          </cell>
        </row>
        <row r="36">
          <cell r="E36">
            <v>1123.46</v>
          </cell>
          <cell r="F36">
            <v>33.620000000000033</v>
          </cell>
          <cell r="G36">
            <v>331.11</v>
          </cell>
        </row>
        <row r="37">
          <cell r="E37">
            <v>83.1</v>
          </cell>
          <cell r="F37">
            <v>3.7199999999999989</v>
          </cell>
          <cell r="G37">
            <v>124.76000000000002</v>
          </cell>
        </row>
        <row r="38">
          <cell r="E38">
            <v>443.84</v>
          </cell>
          <cell r="F38">
            <v>46.87</v>
          </cell>
          <cell r="G38">
            <v>189.97</v>
          </cell>
        </row>
        <row r="40">
          <cell r="G40">
            <v>7.44</v>
          </cell>
        </row>
        <row r="41">
          <cell r="E41">
            <v>0.68</v>
          </cell>
          <cell r="F41">
            <v>0.92</v>
          </cell>
          <cell r="G41">
            <v>1.41</v>
          </cell>
        </row>
        <row r="42">
          <cell r="G42">
            <v>8.3800000000000008</v>
          </cell>
        </row>
        <row r="43">
          <cell r="E43">
            <v>1.04</v>
          </cell>
        </row>
        <row r="44">
          <cell r="G44">
            <v>2864.48</v>
          </cell>
        </row>
        <row r="46">
          <cell r="G46">
            <v>9.77</v>
          </cell>
        </row>
        <row r="47">
          <cell r="E47">
            <v>69.760000000000019</v>
          </cell>
          <cell r="F47">
            <v>1.3099999999999996</v>
          </cell>
          <cell r="G47">
            <v>170.79000000000002</v>
          </cell>
        </row>
        <row r="48">
          <cell r="D48">
            <v>0</v>
          </cell>
          <cell r="F48">
            <v>0</v>
          </cell>
          <cell r="G48">
            <v>115.55</v>
          </cell>
        </row>
        <row r="49">
          <cell r="E49">
            <v>66.28</v>
          </cell>
          <cell r="F49">
            <v>3.31</v>
          </cell>
          <cell r="G49">
            <v>772.46</v>
          </cell>
        </row>
        <row r="50">
          <cell r="E50">
            <v>26.79</v>
          </cell>
        </row>
        <row r="51">
          <cell r="E51">
            <v>103.39</v>
          </cell>
          <cell r="F51">
            <v>0</v>
          </cell>
          <cell r="G51">
            <v>99.56</v>
          </cell>
        </row>
        <row r="52">
          <cell r="E52">
            <v>45.16</v>
          </cell>
          <cell r="F52">
            <v>1.5</v>
          </cell>
          <cell r="G52">
            <v>45.94</v>
          </cell>
        </row>
        <row r="54">
          <cell r="E54">
            <v>10.07</v>
          </cell>
        </row>
        <row r="55">
          <cell r="E55">
            <v>0.85000000000000142</v>
          </cell>
          <cell r="F55">
            <v>0</v>
          </cell>
          <cell r="G55">
            <v>9.39</v>
          </cell>
        </row>
        <row r="56">
          <cell r="E56">
            <v>15.3</v>
          </cell>
        </row>
        <row r="57">
          <cell r="E57">
            <v>685.56</v>
          </cell>
          <cell r="F57">
            <v>71.28</v>
          </cell>
          <cell r="G57">
            <v>33.490000000000009</v>
          </cell>
        </row>
        <row r="58">
          <cell r="E58">
            <v>33.93</v>
          </cell>
          <cell r="G58">
            <v>96.35</v>
          </cell>
        </row>
        <row r="59">
          <cell r="G59">
            <v>0.64</v>
          </cell>
        </row>
        <row r="60">
          <cell r="G60">
            <v>3.23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6AD7-A2CB-4195-8323-70A87F862B90}">
  <dimension ref="A1:Q22"/>
  <sheetViews>
    <sheetView showZeros="0" tabSelected="1" zoomScaleNormal="100" workbookViewId="0">
      <selection activeCell="U5" sqref="U5"/>
    </sheetView>
  </sheetViews>
  <sheetFormatPr defaultColWidth="9.140625" defaultRowHeight="12" x14ac:dyDescent="0.2"/>
  <cols>
    <col min="1" max="1" width="3.42578125" style="3" customWidth="1"/>
    <col min="2" max="2" width="39.140625" style="3" customWidth="1"/>
    <col min="3" max="17" width="8.7109375" style="3" customWidth="1"/>
    <col min="18" max="16384" width="9.140625" style="3"/>
  </cols>
  <sheetData>
    <row r="1" spans="1:17" x14ac:dyDescent="0.2">
      <c r="A1" s="125" t="s">
        <v>185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</row>
    <row r="2" spans="1:17" x14ac:dyDescent="0.2">
      <c r="A2" s="126" t="s">
        <v>186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</row>
    <row r="3" spans="1:17" x14ac:dyDescent="0.2">
      <c r="A3" s="127" t="s">
        <v>140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4" spans="1:17" ht="13.15" customHeight="1" x14ac:dyDescent="0.2">
      <c r="A4" s="112" t="s">
        <v>0</v>
      </c>
      <c r="B4" s="107" t="s">
        <v>1</v>
      </c>
      <c r="C4" s="107" t="s">
        <v>71</v>
      </c>
      <c r="D4" s="107" t="s">
        <v>72</v>
      </c>
      <c r="E4" s="113"/>
      <c r="F4" s="113"/>
      <c r="G4" s="113"/>
      <c r="H4" s="113"/>
      <c r="I4" s="114"/>
      <c r="J4" s="107" t="s">
        <v>73</v>
      </c>
      <c r="K4" s="113"/>
      <c r="L4" s="113"/>
      <c r="M4" s="113"/>
      <c r="N4" s="113"/>
      <c r="O4" s="114"/>
      <c r="P4" s="107" t="s">
        <v>74</v>
      </c>
      <c r="Q4" s="107" t="s">
        <v>75</v>
      </c>
    </row>
    <row r="5" spans="1:17" ht="51" customHeight="1" x14ac:dyDescent="0.2">
      <c r="A5" s="108"/>
      <c r="B5" s="108"/>
      <c r="C5" s="108"/>
      <c r="D5" s="2" t="s">
        <v>76</v>
      </c>
      <c r="E5" s="4" t="s">
        <v>77</v>
      </c>
      <c r="F5" s="4" t="s">
        <v>78</v>
      </c>
      <c r="G5" s="4" t="s">
        <v>79</v>
      </c>
      <c r="H5" s="4" t="s">
        <v>80</v>
      </c>
      <c r="I5" s="4" t="s">
        <v>81</v>
      </c>
      <c r="J5" s="2" t="s">
        <v>76</v>
      </c>
      <c r="K5" s="4" t="s">
        <v>82</v>
      </c>
      <c r="L5" s="4" t="s">
        <v>83</v>
      </c>
      <c r="M5" s="4" t="s">
        <v>84</v>
      </c>
      <c r="N5" s="4" t="s">
        <v>85</v>
      </c>
      <c r="O5" s="4" t="s">
        <v>86</v>
      </c>
      <c r="P5" s="108"/>
      <c r="Q5" s="108"/>
    </row>
    <row r="6" spans="1:17" ht="13.15" customHeight="1" x14ac:dyDescent="0.2">
      <c r="A6" s="5" t="s">
        <v>14</v>
      </c>
      <c r="B6" s="5" t="s">
        <v>15</v>
      </c>
      <c r="C6" s="6" t="s">
        <v>19</v>
      </c>
      <c r="D6" s="6" t="s">
        <v>20</v>
      </c>
      <c r="E6" s="6" t="s">
        <v>21</v>
      </c>
      <c r="F6" s="6" t="s">
        <v>22</v>
      </c>
      <c r="G6" s="6" t="s">
        <v>23</v>
      </c>
      <c r="H6" s="6" t="s">
        <v>24</v>
      </c>
      <c r="I6" s="6" t="s">
        <v>25</v>
      </c>
      <c r="J6" s="6" t="s">
        <v>26</v>
      </c>
      <c r="K6" s="6" t="s">
        <v>27</v>
      </c>
      <c r="L6" s="6" t="s">
        <v>87</v>
      </c>
      <c r="M6" s="6" t="s">
        <v>88</v>
      </c>
      <c r="N6" s="6" t="s">
        <v>89</v>
      </c>
      <c r="O6" s="6" t="s">
        <v>90</v>
      </c>
      <c r="P6" s="6" t="s">
        <v>91</v>
      </c>
      <c r="Q6" s="6" t="s">
        <v>92</v>
      </c>
    </row>
    <row r="7" spans="1:17" ht="13.15" customHeight="1" x14ac:dyDescent="0.2">
      <c r="A7" s="7"/>
      <c r="B7" s="8" t="s">
        <v>28</v>
      </c>
      <c r="C7" s="9">
        <v>7744.57</v>
      </c>
      <c r="D7" s="9">
        <v>2716.56</v>
      </c>
      <c r="E7" s="9">
        <v>2558.61</v>
      </c>
      <c r="F7" s="9">
        <v>0</v>
      </c>
      <c r="G7" s="9">
        <v>0</v>
      </c>
      <c r="H7" s="9">
        <v>157.94999999999999</v>
      </c>
      <c r="I7" s="9">
        <v>0</v>
      </c>
      <c r="J7" s="9">
        <v>2054.58</v>
      </c>
      <c r="K7" s="9">
        <v>0</v>
      </c>
      <c r="L7" s="9">
        <v>756.84999999999991</v>
      </c>
      <c r="M7" s="9">
        <v>39.53</v>
      </c>
      <c r="N7" s="9">
        <v>0</v>
      </c>
      <c r="O7" s="9">
        <v>1258.2</v>
      </c>
      <c r="P7" s="9">
        <v>2156.44</v>
      </c>
      <c r="Q7" s="9">
        <v>816.99</v>
      </c>
    </row>
    <row r="8" spans="1:17" ht="13.15" customHeight="1" x14ac:dyDescent="0.2">
      <c r="A8" s="1" t="s">
        <v>30</v>
      </c>
      <c r="B8" s="8" t="s">
        <v>31</v>
      </c>
      <c r="C8" s="9">
        <v>7309.93</v>
      </c>
      <c r="D8" s="9">
        <v>2687.73</v>
      </c>
      <c r="E8" s="9">
        <v>2530.86</v>
      </c>
      <c r="F8" s="9">
        <v>0</v>
      </c>
      <c r="G8" s="9">
        <v>0</v>
      </c>
      <c r="H8" s="9">
        <v>156.87</v>
      </c>
      <c r="I8" s="9">
        <v>0</v>
      </c>
      <c r="J8" s="9">
        <v>1826.25</v>
      </c>
      <c r="K8" s="9">
        <v>0</v>
      </c>
      <c r="L8" s="9">
        <v>535.66999999999996</v>
      </c>
      <c r="M8" s="9">
        <v>38.68</v>
      </c>
      <c r="N8" s="9">
        <v>0</v>
      </c>
      <c r="O8" s="9">
        <v>1251.9000000000001</v>
      </c>
      <c r="P8" s="9">
        <v>2050.2400000000002</v>
      </c>
      <c r="Q8" s="9">
        <v>745.70999999999992</v>
      </c>
    </row>
    <row r="9" spans="1:17" ht="13.15" customHeight="1" x14ac:dyDescent="0.2">
      <c r="A9" s="10">
        <v>1</v>
      </c>
      <c r="B9" s="11" t="s">
        <v>34</v>
      </c>
      <c r="C9" s="12">
        <v>7309.93</v>
      </c>
      <c r="D9" s="12">
        <v>2687.73</v>
      </c>
      <c r="E9" s="12">
        <v>2530.86</v>
      </c>
      <c r="F9" s="12">
        <v>0</v>
      </c>
      <c r="G9" s="12">
        <v>0</v>
      </c>
      <c r="H9" s="12">
        <v>156.87</v>
      </c>
      <c r="I9" s="12">
        <v>0</v>
      </c>
      <c r="J9" s="12">
        <v>1826.25</v>
      </c>
      <c r="K9" s="12">
        <v>0</v>
      </c>
      <c r="L9" s="12">
        <v>535.66999999999996</v>
      </c>
      <c r="M9" s="12">
        <v>38.68</v>
      </c>
      <c r="N9" s="12">
        <v>0</v>
      </c>
      <c r="O9" s="12">
        <v>1251.9000000000001</v>
      </c>
      <c r="P9" s="12">
        <v>2050.2400000000002</v>
      </c>
      <c r="Q9" s="12">
        <v>745.70999999999992</v>
      </c>
    </row>
    <row r="10" spans="1:17" ht="13.15" customHeight="1" x14ac:dyDescent="0.2">
      <c r="A10" s="13"/>
      <c r="B10" s="11" t="s">
        <v>36</v>
      </c>
      <c r="C10" s="12">
        <v>3332.9700000000003</v>
      </c>
      <c r="D10" s="12">
        <v>2625.63</v>
      </c>
      <c r="E10" s="12">
        <v>2469.46</v>
      </c>
      <c r="F10" s="12">
        <v>0</v>
      </c>
      <c r="G10" s="12">
        <v>0</v>
      </c>
      <c r="H10" s="12">
        <v>156.16999999999999</v>
      </c>
      <c r="I10" s="12">
        <v>0</v>
      </c>
      <c r="J10" s="12">
        <v>636.47</v>
      </c>
      <c r="K10" s="12">
        <v>0</v>
      </c>
      <c r="L10" s="12">
        <v>7.1099999999999994</v>
      </c>
      <c r="M10" s="12">
        <v>0</v>
      </c>
      <c r="N10" s="12">
        <v>0</v>
      </c>
      <c r="O10" s="12">
        <v>629.36</v>
      </c>
      <c r="P10" s="12">
        <v>63.76</v>
      </c>
      <c r="Q10" s="12">
        <v>7.11</v>
      </c>
    </row>
    <row r="11" spans="1:17" ht="13.15" customHeight="1" x14ac:dyDescent="0.2">
      <c r="A11" s="13"/>
      <c r="B11" s="11" t="s">
        <v>38</v>
      </c>
      <c r="C11" s="12">
        <v>2755.5499999999997</v>
      </c>
      <c r="D11" s="12">
        <v>42.67</v>
      </c>
      <c r="E11" s="12">
        <v>42.67</v>
      </c>
      <c r="F11" s="12">
        <v>0</v>
      </c>
      <c r="G11" s="12">
        <v>0</v>
      </c>
      <c r="H11" s="12">
        <v>0</v>
      </c>
      <c r="I11" s="12">
        <v>0</v>
      </c>
      <c r="J11" s="12">
        <v>1134.23</v>
      </c>
      <c r="K11" s="12">
        <v>0</v>
      </c>
      <c r="L11" s="12">
        <v>506.34</v>
      </c>
      <c r="M11" s="12">
        <v>8.02</v>
      </c>
      <c r="N11" s="12">
        <v>0</v>
      </c>
      <c r="O11" s="12">
        <v>619.87</v>
      </c>
      <c r="P11" s="12">
        <v>936.17</v>
      </c>
      <c r="Q11" s="12">
        <v>642.4799999999999</v>
      </c>
    </row>
    <row r="12" spans="1:17" ht="13.15" customHeight="1" x14ac:dyDescent="0.2">
      <c r="A12" s="13"/>
      <c r="B12" s="11" t="s">
        <v>40</v>
      </c>
      <c r="C12" s="12">
        <v>1221.4099999999999</v>
      </c>
      <c r="D12" s="12">
        <v>19.43</v>
      </c>
      <c r="E12" s="12">
        <v>18.73</v>
      </c>
      <c r="F12" s="12">
        <v>0</v>
      </c>
      <c r="G12" s="12">
        <v>0</v>
      </c>
      <c r="H12" s="12">
        <v>0.7</v>
      </c>
      <c r="I12" s="12">
        <v>0</v>
      </c>
      <c r="J12" s="12">
        <v>55.55</v>
      </c>
      <c r="K12" s="12">
        <v>0</v>
      </c>
      <c r="L12" s="12">
        <v>22.22</v>
      </c>
      <c r="M12" s="12">
        <v>30.66</v>
      </c>
      <c r="N12" s="12">
        <v>0</v>
      </c>
      <c r="O12" s="12">
        <v>2.67</v>
      </c>
      <c r="P12" s="12">
        <v>1050.31</v>
      </c>
      <c r="Q12" s="12">
        <v>96.12</v>
      </c>
    </row>
    <row r="13" spans="1:17" ht="13.15" customHeight="1" x14ac:dyDescent="0.2">
      <c r="A13" s="1" t="s">
        <v>42</v>
      </c>
      <c r="B13" s="8" t="s">
        <v>43</v>
      </c>
      <c r="C13" s="9">
        <v>7309.93</v>
      </c>
      <c r="D13" s="9">
        <v>2687.73</v>
      </c>
      <c r="E13" s="9">
        <v>2530.86</v>
      </c>
      <c r="F13" s="9">
        <v>0</v>
      </c>
      <c r="G13" s="9">
        <v>0</v>
      </c>
      <c r="H13" s="9">
        <v>156.87</v>
      </c>
      <c r="I13" s="9">
        <v>0</v>
      </c>
      <c r="J13" s="9">
        <v>1826.25</v>
      </c>
      <c r="K13" s="9">
        <v>0</v>
      </c>
      <c r="L13" s="9">
        <v>535.66999999999996</v>
      </c>
      <c r="M13" s="9">
        <v>38.68</v>
      </c>
      <c r="N13" s="9">
        <v>0</v>
      </c>
      <c r="O13" s="9">
        <v>1251.9000000000001</v>
      </c>
      <c r="P13" s="9">
        <v>2050.2400000000002</v>
      </c>
      <c r="Q13" s="9">
        <v>745.70999999999992</v>
      </c>
    </row>
    <row r="14" spans="1:17" ht="13.15" customHeight="1" x14ac:dyDescent="0.2">
      <c r="A14" s="10">
        <v>1</v>
      </c>
      <c r="B14" s="11" t="s">
        <v>51</v>
      </c>
      <c r="C14" s="12">
        <v>7294.4</v>
      </c>
      <c r="D14" s="12">
        <v>2687.73</v>
      </c>
      <c r="E14" s="12">
        <v>2530.86</v>
      </c>
      <c r="F14" s="12">
        <v>0</v>
      </c>
      <c r="G14" s="12">
        <v>0</v>
      </c>
      <c r="H14" s="12">
        <v>156.87</v>
      </c>
      <c r="I14" s="12">
        <v>0</v>
      </c>
      <c r="J14" s="12">
        <v>1810.72</v>
      </c>
      <c r="K14" s="12">
        <v>0</v>
      </c>
      <c r="L14" s="12">
        <v>535.66999999999996</v>
      </c>
      <c r="M14" s="12">
        <v>38.68</v>
      </c>
      <c r="N14" s="12">
        <v>0</v>
      </c>
      <c r="O14" s="12">
        <v>1236.3699999999999</v>
      </c>
      <c r="P14" s="12">
        <v>2050.2400000000002</v>
      </c>
      <c r="Q14" s="12">
        <v>745.70999999999992</v>
      </c>
    </row>
    <row r="15" spans="1:17" ht="13.15" customHeight="1" x14ac:dyDescent="0.2">
      <c r="A15" s="13"/>
      <c r="B15" s="11" t="s">
        <v>53</v>
      </c>
      <c r="C15" s="12">
        <v>962.97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931.13</v>
      </c>
      <c r="K15" s="12">
        <v>0</v>
      </c>
      <c r="L15" s="12">
        <v>0</v>
      </c>
      <c r="M15" s="12">
        <v>0</v>
      </c>
      <c r="N15" s="12">
        <v>0</v>
      </c>
      <c r="O15" s="12">
        <v>931.13</v>
      </c>
      <c r="P15" s="12">
        <v>0</v>
      </c>
      <c r="Q15" s="12">
        <v>31.84</v>
      </c>
    </row>
    <row r="16" spans="1:17" ht="13.15" customHeight="1" x14ac:dyDescent="0.2">
      <c r="A16" s="13"/>
      <c r="B16" s="11" t="s">
        <v>55</v>
      </c>
      <c r="C16" s="12">
        <v>6035.68</v>
      </c>
      <c r="D16" s="12">
        <v>2687.73</v>
      </c>
      <c r="E16" s="12">
        <v>2530.86</v>
      </c>
      <c r="F16" s="12">
        <v>0</v>
      </c>
      <c r="G16" s="12">
        <v>0</v>
      </c>
      <c r="H16" s="12">
        <v>156.87</v>
      </c>
      <c r="I16" s="12">
        <v>0</v>
      </c>
      <c r="J16" s="12">
        <v>585.93000000000006</v>
      </c>
      <c r="K16" s="12">
        <v>0</v>
      </c>
      <c r="L16" s="12">
        <v>535.66999999999996</v>
      </c>
      <c r="M16" s="12">
        <v>38.68</v>
      </c>
      <c r="N16" s="12">
        <v>0</v>
      </c>
      <c r="O16" s="12">
        <v>11.58</v>
      </c>
      <c r="P16" s="12">
        <v>2050.2400000000002</v>
      </c>
      <c r="Q16" s="12">
        <v>711.78</v>
      </c>
    </row>
    <row r="17" spans="1:17" ht="13.15" customHeight="1" x14ac:dyDescent="0.2">
      <c r="A17" s="13"/>
      <c r="B17" s="11" t="s">
        <v>57</v>
      </c>
      <c r="C17" s="12">
        <v>295.75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293.66000000000003</v>
      </c>
      <c r="K17" s="12">
        <v>0</v>
      </c>
      <c r="L17" s="12">
        <v>0</v>
      </c>
      <c r="M17" s="12">
        <v>0</v>
      </c>
      <c r="N17" s="12">
        <v>0</v>
      </c>
      <c r="O17" s="12">
        <v>293.66000000000003</v>
      </c>
      <c r="P17" s="12">
        <v>0</v>
      </c>
      <c r="Q17" s="12">
        <v>2.09</v>
      </c>
    </row>
    <row r="18" spans="1:17" ht="13.15" customHeight="1" x14ac:dyDescent="0.2">
      <c r="A18" s="10" t="s">
        <v>59</v>
      </c>
      <c r="B18" s="11" t="s">
        <v>60</v>
      </c>
      <c r="C18" s="12">
        <v>15.53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15.53</v>
      </c>
      <c r="K18" s="12">
        <v>0</v>
      </c>
      <c r="L18" s="12">
        <v>0</v>
      </c>
      <c r="M18" s="12">
        <v>0</v>
      </c>
      <c r="N18" s="12">
        <v>0</v>
      </c>
      <c r="O18" s="12">
        <v>15.53</v>
      </c>
      <c r="P18" s="12">
        <v>0</v>
      </c>
      <c r="Q18" s="12">
        <v>0</v>
      </c>
    </row>
    <row r="19" spans="1:17" ht="13.15" customHeight="1" x14ac:dyDescent="0.2">
      <c r="A19" s="1" t="s">
        <v>93</v>
      </c>
      <c r="B19" s="8" t="s">
        <v>63</v>
      </c>
      <c r="C19" s="9">
        <v>13978.04</v>
      </c>
      <c r="D19" s="9">
        <v>4966.76</v>
      </c>
      <c r="E19" s="9">
        <v>4782.17</v>
      </c>
      <c r="F19" s="9">
        <v>0</v>
      </c>
      <c r="G19" s="9">
        <v>0</v>
      </c>
      <c r="H19" s="9">
        <v>184.59</v>
      </c>
      <c r="I19" s="9">
        <v>0</v>
      </c>
      <c r="J19" s="9">
        <v>3335.52</v>
      </c>
      <c r="K19" s="9">
        <v>0</v>
      </c>
      <c r="L19" s="9">
        <v>605.81000000000006</v>
      </c>
      <c r="M19" s="9">
        <v>8.7100000000000009</v>
      </c>
      <c r="N19" s="9">
        <v>0</v>
      </c>
      <c r="O19" s="9">
        <v>2721</v>
      </c>
      <c r="P19" s="9">
        <v>5461.38</v>
      </c>
      <c r="Q19" s="9">
        <v>214.38</v>
      </c>
    </row>
    <row r="20" spans="1:17" ht="13.15" customHeight="1" x14ac:dyDescent="0.2">
      <c r="A20" s="10" t="s">
        <v>45</v>
      </c>
      <c r="B20" s="11" t="s">
        <v>65</v>
      </c>
      <c r="C20" s="12">
        <v>434.64000000000004</v>
      </c>
      <c r="D20" s="12">
        <v>28.83</v>
      </c>
      <c r="E20" s="12">
        <v>27.75</v>
      </c>
      <c r="F20" s="12">
        <v>0</v>
      </c>
      <c r="G20" s="12">
        <v>0</v>
      </c>
      <c r="H20" s="12">
        <v>1.08</v>
      </c>
      <c r="I20" s="12">
        <v>0</v>
      </c>
      <c r="J20" s="12">
        <v>228.33</v>
      </c>
      <c r="K20" s="12">
        <v>0</v>
      </c>
      <c r="L20" s="12">
        <v>221.17999999999998</v>
      </c>
      <c r="M20" s="12">
        <v>0.85</v>
      </c>
      <c r="N20" s="12">
        <v>0</v>
      </c>
      <c r="O20" s="12">
        <v>6.3</v>
      </c>
      <c r="P20" s="12">
        <v>106.2</v>
      </c>
      <c r="Q20" s="12">
        <v>71.28</v>
      </c>
    </row>
    <row r="21" spans="1:17" ht="13.15" customHeight="1" x14ac:dyDescent="0.2">
      <c r="A21" s="10" t="s">
        <v>33</v>
      </c>
      <c r="B21" s="11" t="s">
        <v>67</v>
      </c>
      <c r="C21" s="12">
        <v>1.07</v>
      </c>
      <c r="D21" s="12">
        <v>1.07</v>
      </c>
      <c r="E21" s="12">
        <v>1.07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</row>
    <row r="22" spans="1:17" ht="13.15" customHeight="1" x14ac:dyDescent="0.2">
      <c r="A22" s="10" t="s">
        <v>50</v>
      </c>
      <c r="B22" s="11" t="s">
        <v>69</v>
      </c>
      <c r="C22" s="12">
        <v>13542.33</v>
      </c>
      <c r="D22" s="12">
        <v>4936.8599999999997</v>
      </c>
      <c r="E22" s="12">
        <v>4753.3500000000004</v>
      </c>
      <c r="F22" s="12">
        <v>0</v>
      </c>
      <c r="G22" s="12">
        <v>0</v>
      </c>
      <c r="H22" s="12">
        <v>183.51</v>
      </c>
      <c r="I22" s="12">
        <v>0</v>
      </c>
      <c r="J22" s="12">
        <v>3107.19</v>
      </c>
      <c r="K22" s="12">
        <v>0</v>
      </c>
      <c r="L22" s="12">
        <v>384.63</v>
      </c>
      <c r="M22" s="12">
        <v>7.86</v>
      </c>
      <c r="N22" s="12">
        <v>0</v>
      </c>
      <c r="O22" s="12">
        <v>2714.7</v>
      </c>
      <c r="P22" s="12">
        <v>5355.18</v>
      </c>
      <c r="Q22" s="12">
        <v>143.10000000000002</v>
      </c>
    </row>
  </sheetData>
  <mergeCells count="10">
    <mergeCell ref="Q4:Q5"/>
    <mergeCell ref="A1:Q1"/>
    <mergeCell ref="A3:Q3"/>
    <mergeCell ref="A2:Q2"/>
    <mergeCell ref="A4:A5"/>
    <mergeCell ref="B4:B5"/>
    <mergeCell ref="C4:C5"/>
    <mergeCell ref="D4:I4"/>
    <mergeCell ref="J4:O4"/>
    <mergeCell ref="P4:P5"/>
  </mergeCells>
  <pageMargins left="0.27" right="0.14000000000000001" top="0.22" bottom="0.78740157480314998" header="0.39370078740157499" footer="0.14000000000000001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AB8C-7576-4297-B1FA-53771432909C}">
  <dimension ref="A1:N24"/>
  <sheetViews>
    <sheetView showZeros="0" zoomScaleNormal="100" workbookViewId="0">
      <selection activeCell="B32" sqref="B32"/>
    </sheetView>
  </sheetViews>
  <sheetFormatPr defaultColWidth="9.140625" defaultRowHeight="12" x14ac:dyDescent="0.2"/>
  <cols>
    <col min="1" max="1" width="4.85546875" style="3" customWidth="1"/>
    <col min="2" max="2" width="39.140625" style="3" customWidth="1"/>
    <col min="3" max="3" width="9.140625" style="3"/>
    <col min="4" max="14" width="8.7109375" style="3" customWidth="1"/>
    <col min="15" max="16" width="9.140625" style="3"/>
    <col min="17" max="17" width="9.28515625" style="3" bestFit="1" customWidth="1"/>
    <col min="18" max="18" width="9.140625" style="3"/>
    <col min="19" max="19" width="9.28515625" style="3" bestFit="1" customWidth="1"/>
    <col min="20" max="16384" width="9.140625" style="3"/>
  </cols>
  <sheetData>
    <row r="1" spans="1:14" ht="17.25" customHeight="1" x14ac:dyDescent="0.2">
      <c r="A1" s="109" t="s">
        <v>190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</row>
    <row r="2" spans="1:14" x14ac:dyDescent="0.2">
      <c r="A2" s="111" t="s">
        <v>186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x14ac:dyDescent="0.2">
      <c r="A3" s="110" t="s">
        <v>140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</row>
    <row r="4" spans="1:14" x14ac:dyDescent="0.2">
      <c r="A4" s="116" t="s">
        <v>0</v>
      </c>
      <c r="B4" s="115" t="s">
        <v>1</v>
      </c>
      <c r="C4" s="116" t="s">
        <v>2</v>
      </c>
      <c r="D4" s="115" t="s">
        <v>3</v>
      </c>
      <c r="E4" s="115" t="s">
        <v>4</v>
      </c>
      <c r="F4" s="115" t="s">
        <v>5</v>
      </c>
      <c r="G4" s="115" t="s">
        <v>6</v>
      </c>
      <c r="H4" s="115" t="s">
        <v>7</v>
      </c>
      <c r="I4" s="115" t="s">
        <v>8</v>
      </c>
      <c r="J4" s="115" t="s">
        <v>9</v>
      </c>
      <c r="K4" s="115" t="s">
        <v>10</v>
      </c>
      <c r="L4" s="115" t="s">
        <v>11</v>
      </c>
      <c r="M4" s="115" t="s">
        <v>12</v>
      </c>
      <c r="N4" s="115" t="s">
        <v>13</v>
      </c>
    </row>
    <row r="5" spans="1:14" ht="51" customHeight="1" x14ac:dyDescent="0.2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</row>
    <row r="6" spans="1:14" ht="13.15" customHeight="1" x14ac:dyDescent="0.2">
      <c r="A6" s="10" t="s">
        <v>14</v>
      </c>
      <c r="B6" s="10" t="s">
        <v>15</v>
      </c>
      <c r="C6" s="14" t="s">
        <v>16</v>
      </c>
      <c r="D6" s="14" t="s">
        <v>17</v>
      </c>
      <c r="E6" s="14" t="s">
        <v>18</v>
      </c>
      <c r="F6" s="14" t="s">
        <v>19</v>
      </c>
      <c r="G6" s="14" t="s">
        <v>20</v>
      </c>
      <c r="H6" s="14" t="s">
        <v>21</v>
      </c>
      <c r="I6" s="15" t="s">
        <v>22</v>
      </c>
      <c r="J6" s="15" t="s">
        <v>23</v>
      </c>
      <c r="K6" s="15" t="s">
        <v>24</v>
      </c>
      <c r="L6" s="15" t="s">
        <v>25</v>
      </c>
      <c r="M6" s="15" t="s">
        <v>26</v>
      </c>
      <c r="N6" s="15" t="s">
        <v>27</v>
      </c>
    </row>
    <row r="7" spans="1:14" ht="13.15" customHeight="1" x14ac:dyDescent="0.2">
      <c r="A7" s="16"/>
      <c r="B7" s="8" t="s">
        <v>28</v>
      </c>
      <c r="C7" s="17" t="s">
        <v>29</v>
      </c>
      <c r="D7" s="9">
        <v>7744.57</v>
      </c>
      <c r="E7" s="9">
        <v>2716.56</v>
      </c>
      <c r="F7" s="9">
        <v>1126.96</v>
      </c>
      <c r="G7" s="9">
        <v>99.59</v>
      </c>
      <c r="H7" s="18">
        <v>843.66000000000008</v>
      </c>
      <c r="I7" s="18">
        <v>88.76</v>
      </c>
      <c r="J7" s="19">
        <v>1657.8599999999997</v>
      </c>
      <c r="K7" s="19">
        <v>1007.98</v>
      </c>
      <c r="L7" s="19">
        <v>0</v>
      </c>
      <c r="M7" s="19">
        <v>0</v>
      </c>
      <c r="N7" s="19">
        <v>203.20000000000002</v>
      </c>
    </row>
    <row r="8" spans="1:14" ht="13.15" customHeight="1" x14ac:dyDescent="0.2">
      <c r="A8" s="1" t="s">
        <v>30</v>
      </c>
      <c r="B8" s="8" t="s">
        <v>31</v>
      </c>
      <c r="C8" s="17" t="s">
        <v>32</v>
      </c>
      <c r="D8" s="9">
        <v>7309.93</v>
      </c>
      <c r="E8" s="9">
        <v>2687.73</v>
      </c>
      <c r="F8" s="9">
        <v>1122.75</v>
      </c>
      <c r="G8" s="9">
        <v>86.74</v>
      </c>
      <c r="H8" s="18">
        <v>768.66</v>
      </c>
      <c r="I8" s="18">
        <v>87.91</v>
      </c>
      <c r="J8" s="19">
        <v>1577.3700000000001</v>
      </c>
      <c r="K8" s="19">
        <v>782.34</v>
      </c>
      <c r="L8" s="19">
        <v>0</v>
      </c>
      <c r="M8" s="19">
        <v>0</v>
      </c>
      <c r="N8" s="19">
        <v>196.43</v>
      </c>
    </row>
    <row r="9" spans="1:14" ht="13.15" customHeight="1" x14ac:dyDescent="0.2">
      <c r="A9" s="10" t="s">
        <v>33</v>
      </c>
      <c r="B9" s="20" t="s">
        <v>34</v>
      </c>
      <c r="C9" s="17" t="s">
        <v>35</v>
      </c>
      <c r="D9" s="12">
        <v>7309.93</v>
      </c>
      <c r="E9" s="12">
        <v>2687.73</v>
      </c>
      <c r="F9" s="12">
        <v>1122.75</v>
      </c>
      <c r="G9" s="12">
        <v>86.74</v>
      </c>
      <c r="H9" s="21">
        <v>768.66</v>
      </c>
      <c r="I9" s="21">
        <v>87.91</v>
      </c>
      <c r="J9" s="22">
        <v>1577.3700000000001</v>
      </c>
      <c r="K9" s="22">
        <v>782.34</v>
      </c>
      <c r="L9" s="22">
        <v>0</v>
      </c>
      <c r="M9" s="22">
        <v>0</v>
      </c>
      <c r="N9" s="22">
        <v>196.43</v>
      </c>
    </row>
    <row r="10" spans="1:14" ht="13.15" customHeight="1" x14ac:dyDescent="0.2">
      <c r="A10" s="23"/>
      <c r="B10" s="20" t="s">
        <v>36</v>
      </c>
      <c r="C10" s="17" t="s">
        <v>37</v>
      </c>
      <c r="D10" s="12">
        <v>3332.9700000000003</v>
      </c>
      <c r="E10" s="12">
        <v>2625.63</v>
      </c>
      <c r="F10" s="12">
        <v>563.25</v>
      </c>
      <c r="G10" s="12">
        <v>0</v>
      </c>
      <c r="H10" s="21">
        <v>38.78</v>
      </c>
      <c r="I10" s="21">
        <v>0</v>
      </c>
      <c r="J10" s="22">
        <v>30.039999999999964</v>
      </c>
      <c r="K10" s="22">
        <v>3.53</v>
      </c>
      <c r="L10" s="22">
        <v>0</v>
      </c>
      <c r="M10" s="22">
        <v>0</v>
      </c>
      <c r="N10" s="22">
        <v>71.739999999999995</v>
      </c>
    </row>
    <row r="11" spans="1:14" ht="13.15" customHeight="1" x14ac:dyDescent="0.2">
      <c r="A11" s="23"/>
      <c r="B11" s="20" t="s">
        <v>38</v>
      </c>
      <c r="C11" s="17" t="s">
        <v>39</v>
      </c>
      <c r="D11" s="12">
        <v>2755.55</v>
      </c>
      <c r="E11" s="12">
        <v>42.67</v>
      </c>
      <c r="F11" s="12">
        <v>552.1</v>
      </c>
      <c r="G11" s="12">
        <v>73.02</v>
      </c>
      <c r="H11" s="21">
        <v>591.06000000000006</v>
      </c>
      <c r="I11" s="21">
        <v>57.25</v>
      </c>
      <c r="J11" s="22">
        <v>746.98</v>
      </c>
      <c r="K11" s="22">
        <v>570.45000000000005</v>
      </c>
      <c r="L11" s="22">
        <v>0</v>
      </c>
      <c r="M11" s="22">
        <v>0</v>
      </c>
      <c r="N11" s="22">
        <v>122.02000000000001</v>
      </c>
    </row>
    <row r="12" spans="1:14" ht="13.15" customHeight="1" x14ac:dyDescent="0.2">
      <c r="A12" s="23"/>
      <c r="B12" s="20" t="s">
        <v>40</v>
      </c>
      <c r="C12" s="17" t="s">
        <v>41</v>
      </c>
      <c r="D12" s="12">
        <v>1221.4099999999999</v>
      </c>
      <c r="E12" s="12">
        <v>19.43</v>
      </c>
      <c r="F12" s="12">
        <v>7.4</v>
      </c>
      <c r="G12" s="12">
        <v>13.72</v>
      </c>
      <c r="H12" s="21">
        <v>138.82</v>
      </c>
      <c r="I12" s="21">
        <v>30.66</v>
      </c>
      <c r="J12" s="22">
        <v>800.35</v>
      </c>
      <c r="K12" s="22">
        <v>208.35999999999999</v>
      </c>
      <c r="L12" s="22">
        <v>0</v>
      </c>
      <c r="M12" s="22">
        <v>0</v>
      </c>
      <c r="N12" s="22">
        <v>2.67</v>
      </c>
    </row>
    <row r="13" spans="1:14" ht="13.15" customHeight="1" x14ac:dyDescent="0.2">
      <c r="A13" s="1" t="s">
        <v>42</v>
      </c>
      <c r="B13" s="8" t="s">
        <v>43</v>
      </c>
      <c r="C13" s="17" t="s">
        <v>44</v>
      </c>
      <c r="D13" s="9">
        <v>7309.93</v>
      </c>
      <c r="E13" s="9">
        <v>2687.73</v>
      </c>
      <c r="F13" s="9">
        <v>1122.75</v>
      </c>
      <c r="G13" s="9">
        <v>86.74</v>
      </c>
      <c r="H13" s="18">
        <v>768.66</v>
      </c>
      <c r="I13" s="18">
        <v>87.91</v>
      </c>
      <c r="J13" s="19">
        <v>1577.3700000000001</v>
      </c>
      <c r="K13" s="19">
        <v>782.34</v>
      </c>
      <c r="L13" s="19">
        <v>0</v>
      </c>
      <c r="M13" s="19">
        <v>0</v>
      </c>
      <c r="N13" s="19">
        <v>196.43</v>
      </c>
    </row>
    <row r="14" spans="1:14" ht="13.15" customHeight="1" x14ac:dyDescent="0.2">
      <c r="A14" s="10" t="s">
        <v>45</v>
      </c>
      <c r="B14" s="20" t="s">
        <v>46</v>
      </c>
      <c r="C14" s="17" t="s">
        <v>47</v>
      </c>
      <c r="D14" s="9">
        <v>0</v>
      </c>
      <c r="E14" s="9">
        <v>0</v>
      </c>
      <c r="F14" s="9">
        <v>0</v>
      </c>
      <c r="G14" s="9">
        <v>0</v>
      </c>
      <c r="H14" s="18">
        <v>0</v>
      </c>
      <c r="I14" s="18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</row>
    <row r="15" spans="1:14" ht="13.15" customHeight="1" x14ac:dyDescent="0.2">
      <c r="A15" s="10" t="s">
        <v>33</v>
      </c>
      <c r="B15" s="20" t="s">
        <v>48</v>
      </c>
      <c r="C15" s="17" t="s">
        <v>49</v>
      </c>
      <c r="D15" s="9">
        <v>0</v>
      </c>
      <c r="E15" s="9">
        <v>0</v>
      </c>
      <c r="F15" s="9">
        <v>0</v>
      </c>
      <c r="G15" s="9">
        <v>0</v>
      </c>
      <c r="H15" s="18">
        <v>0</v>
      </c>
      <c r="I15" s="18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</row>
    <row r="16" spans="1:14" ht="13.15" customHeight="1" x14ac:dyDescent="0.2">
      <c r="A16" s="10" t="s">
        <v>50</v>
      </c>
      <c r="B16" s="20" t="s">
        <v>51</v>
      </c>
      <c r="C16" s="17" t="s">
        <v>52</v>
      </c>
      <c r="D16" s="12">
        <v>7294.4</v>
      </c>
      <c r="E16" s="12">
        <v>2687.73</v>
      </c>
      <c r="F16" s="12">
        <v>1116.69</v>
      </c>
      <c r="G16" s="12">
        <v>86.74</v>
      </c>
      <c r="H16" s="21">
        <v>768.66</v>
      </c>
      <c r="I16" s="21">
        <v>87.91</v>
      </c>
      <c r="J16" s="22">
        <v>1577.3699999999997</v>
      </c>
      <c r="K16" s="22">
        <v>782.34</v>
      </c>
      <c r="L16" s="22">
        <v>0</v>
      </c>
      <c r="M16" s="22">
        <v>0</v>
      </c>
      <c r="N16" s="22">
        <v>186.96</v>
      </c>
    </row>
    <row r="17" spans="1:14" ht="13.15" customHeight="1" x14ac:dyDescent="0.2">
      <c r="A17" s="23"/>
      <c r="B17" s="20" t="s">
        <v>53</v>
      </c>
      <c r="C17" s="17" t="s">
        <v>54</v>
      </c>
      <c r="D17" s="12">
        <v>962.97</v>
      </c>
      <c r="E17" s="12">
        <v>0</v>
      </c>
      <c r="F17" s="12">
        <v>759.79</v>
      </c>
      <c r="G17" s="12">
        <v>0</v>
      </c>
      <c r="H17" s="21">
        <v>0</v>
      </c>
      <c r="I17" s="21">
        <v>31.84</v>
      </c>
      <c r="J17" s="22">
        <v>0</v>
      </c>
      <c r="K17" s="22">
        <v>0</v>
      </c>
      <c r="L17" s="22">
        <v>0</v>
      </c>
      <c r="M17" s="22">
        <v>0</v>
      </c>
      <c r="N17" s="22">
        <v>171.34</v>
      </c>
    </row>
    <row r="18" spans="1:14" ht="13.15" customHeight="1" x14ac:dyDescent="0.2">
      <c r="A18" s="23"/>
      <c r="B18" s="20" t="s">
        <v>55</v>
      </c>
      <c r="C18" s="17" t="s">
        <v>56</v>
      </c>
      <c r="D18" s="12">
        <v>6035.68</v>
      </c>
      <c r="E18" s="12">
        <v>2687.73</v>
      </c>
      <c r="F18" s="12">
        <v>63.24</v>
      </c>
      <c r="G18" s="12">
        <v>86.74</v>
      </c>
      <c r="H18" s="21">
        <v>768.66</v>
      </c>
      <c r="I18" s="21">
        <v>53.980000000000004</v>
      </c>
      <c r="J18" s="22">
        <v>1577.37</v>
      </c>
      <c r="K18" s="22">
        <v>782.34</v>
      </c>
      <c r="L18" s="22">
        <v>0</v>
      </c>
      <c r="M18" s="22">
        <v>0</v>
      </c>
      <c r="N18" s="22">
        <v>15.620000000000001</v>
      </c>
    </row>
    <row r="19" spans="1:14" ht="13.15" customHeight="1" x14ac:dyDescent="0.2">
      <c r="A19" s="23"/>
      <c r="B19" s="20" t="s">
        <v>57</v>
      </c>
      <c r="C19" s="17" t="s">
        <v>58</v>
      </c>
      <c r="D19" s="12">
        <v>295.75</v>
      </c>
      <c r="E19" s="12">
        <v>0</v>
      </c>
      <c r="F19" s="12">
        <v>293.66000000000003</v>
      </c>
      <c r="G19" s="12">
        <v>0</v>
      </c>
      <c r="H19" s="21">
        <v>0</v>
      </c>
      <c r="I19" s="21">
        <v>2.09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</row>
    <row r="20" spans="1:14" ht="13.15" customHeight="1" x14ac:dyDescent="0.2">
      <c r="A20" s="10" t="s">
        <v>59</v>
      </c>
      <c r="B20" s="20" t="s">
        <v>60</v>
      </c>
      <c r="C20" s="17" t="s">
        <v>61</v>
      </c>
      <c r="D20" s="12">
        <v>15.53</v>
      </c>
      <c r="E20" s="12">
        <v>0</v>
      </c>
      <c r="F20" s="12">
        <v>6.06</v>
      </c>
      <c r="G20" s="12">
        <v>0</v>
      </c>
      <c r="H20" s="21">
        <v>0</v>
      </c>
      <c r="I20" s="21">
        <v>0</v>
      </c>
      <c r="J20" s="22">
        <v>0</v>
      </c>
      <c r="K20" s="22">
        <v>0</v>
      </c>
      <c r="L20" s="22">
        <v>0</v>
      </c>
      <c r="M20" s="22">
        <v>0</v>
      </c>
      <c r="N20" s="22">
        <v>9.4700000000000006</v>
      </c>
    </row>
    <row r="21" spans="1:14" ht="13.15" customHeight="1" x14ac:dyDescent="0.2">
      <c r="A21" s="1" t="s">
        <v>62</v>
      </c>
      <c r="B21" s="8" t="s">
        <v>63</v>
      </c>
      <c r="C21" s="17" t="s">
        <v>64</v>
      </c>
      <c r="D21" s="9">
        <v>13978.04</v>
      </c>
      <c r="E21" s="9">
        <v>4966.76</v>
      </c>
      <c r="F21" s="9">
        <v>1487.46</v>
      </c>
      <c r="G21" s="9">
        <v>92.54</v>
      </c>
      <c r="H21" s="18">
        <v>233.25</v>
      </c>
      <c r="I21" s="18">
        <v>105.69999999999999</v>
      </c>
      <c r="J21" s="19">
        <v>601.56999999999971</v>
      </c>
      <c r="K21" s="19">
        <v>2290.0299999999997</v>
      </c>
      <c r="L21" s="19">
        <v>0</v>
      </c>
      <c r="M21" s="19">
        <v>0</v>
      </c>
      <c r="N21" s="19">
        <v>4200.7300000000005</v>
      </c>
    </row>
    <row r="22" spans="1:14" ht="13.15" customHeight="1" x14ac:dyDescent="0.2">
      <c r="A22" s="10" t="s">
        <v>45</v>
      </c>
      <c r="B22" s="20" t="s">
        <v>65</v>
      </c>
      <c r="C22" s="17" t="s">
        <v>66</v>
      </c>
      <c r="D22" s="12">
        <v>434.64000000000004</v>
      </c>
      <c r="E22" s="12">
        <v>28.83</v>
      </c>
      <c r="F22" s="12">
        <v>4.21</v>
      </c>
      <c r="G22" s="12">
        <v>12.85</v>
      </c>
      <c r="H22" s="21">
        <v>75</v>
      </c>
      <c r="I22" s="21">
        <v>0.85</v>
      </c>
      <c r="J22" s="22">
        <v>80.489999999999995</v>
      </c>
      <c r="K22" s="22">
        <v>225.64</v>
      </c>
      <c r="L22" s="22">
        <v>0</v>
      </c>
      <c r="M22" s="22">
        <v>0</v>
      </c>
      <c r="N22" s="22">
        <v>6.77</v>
      </c>
    </row>
    <row r="23" spans="1:14" ht="13.15" customHeight="1" x14ac:dyDescent="0.2">
      <c r="A23" s="10" t="s">
        <v>33</v>
      </c>
      <c r="B23" s="20" t="s">
        <v>67</v>
      </c>
      <c r="C23" s="17" t="s">
        <v>68</v>
      </c>
      <c r="D23" s="12">
        <v>1.07</v>
      </c>
      <c r="E23" s="12">
        <v>1.07</v>
      </c>
      <c r="F23" s="12">
        <v>0</v>
      </c>
      <c r="G23" s="12">
        <v>0</v>
      </c>
      <c r="H23" s="21">
        <v>0</v>
      </c>
      <c r="I23" s="21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</row>
    <row r="24" spans="1:14" ht="13.15" customHeight="1" x14ac:dyDescent="0.2">
      <c r="A24" s="10" t="s">
        <v>50</v>
      </c>
      <c r="B24" s="20" t="s">
        <v>69</v>
      </c>
      <c r="C24" s="17" t="s">
        <v>70</v>
      </c>
      <c r="D24" s="12">
        <v>13542.33</v>
      </c>
      <c r="E24" s="12">
        <v>4936.8599999999997</v>
      </c>
      <c r="F24" s="12">
        <v>1483.25</v>
      </c>
      <c r="G24" s="12">
        <v>79.69</v>
      </c>
      <c r="H24" s="21">
        <v>158.25</v>
      </c>
      <c r="I24" s="21">
        <v>104.85</v>
      </c>
      <c r="J24" s="22">
        <v>521.08000000000015</v>
      </c>
      <c r="K24" s="22">
        <v>2064.39</v>
      </c>
      <c r="L24" s="22">
        <v>0</v>
      </c>
      <c r="M24" s="22">
        <v>0</v>
      </c>
      <c r="N24" s="22">
        <v>4193.96</v>
      </c>
    </row>
  </sheetData>
  <mergeCells count="17">
    <mergeCell ref="F4:F5"/>
    <mergeCell ref="M4:M5"/>
    <mergeCell ref="N4:N5"/>
    <mergeCell ref="A1:N1"/>
    <mergeCell ref="A2:N2"/>
    <mergeCell ref="A3:N3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</mergeCells>
  <pageMargins left="0.7" right="0.7" top="0.28999999999999998" bottom="0.75" header="0.3" footer="0.3"/>
  <pageSetup paperSize="9" scale="9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9331-BBBF-46E7-BA9F-A6AF54989B94}">
  <dimension ref="A1:M30"/>
  <sheetViews>
    <sheetView showZeros="0" zoomScaleNormal="100" workbookViewId="0">
      <selection sqref="A1:M1"/>
    </sheetView>
  </sheetViews>
  <sheetFormatPr defaultColWidth="9.28515625" defaultRowHeight="12" x14ac:dyDescent="0.2"/>
  <cols>
    <col min="1" max="1" width="4" style="24" customWidth="1"/>
    <col min="2" max="2" width="21.7109375" style="24" customWidth="1"/>
    <col min="3" max="3" width="13" style="24" customWidth="1"/>
    <col min="4" max="4" width="14.42578125" style="24" customWidth="1"/>
    <col min="5" max="6" width="8.7109375" style="24" customWidth="1"/>
    <col min="7" max="7" width="9.28515625" style="24" customWidth="1"/>
    <col min="8" max="12" width="8.7109375" style="24" customWidth="1"/>
    <col min="13" max="13" width="15.7109375" style="24" customWidth="1"/>
    <col min="14" max="16384" width="9.28515625" style="24"/>
  </cols>
  <sheetData>
    <row r="1" spans="1:13" ht="18.75" customHeight="1" x14ac:dyDescent="0.2">
      <c r="A1" s="117" t="s">
        <v>187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2" spans="1:13" x14ac:dyDescent="0.2">
      <c r="A2" s="118" t="s">
        <v>186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</row>
    <row r="3" spans="1:13" x14ac:dyDescent="0.2">
      <c r="A3" s="119" t="s">
        <v>189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</row>
    <row r="4" spans="1:13" x14ac:dyDescent="0.2">
      <c r="A4" s="119" t="s">
        <v>188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</row>
    <row r="5" spans="1:13" x14ac:dyDescent="0.2">
      <c r="A5" s="123" t="s">
        <v>0</v>
      </c>
      <c r="B5" s="123" t="s">
        <v>94</v>
      </c>
      <c r="C5" s="123" t="s">
        <v>95</v>
      </c>
      <c r="D5" s="123" t="s">
        <v>96</v>
      </c>
      <c r="E5" s="123" t="s">
        <v>97</v>
      </c>
      <c r="F5" s="120" t="s">
        <v>34</v>
      </c>
      <c r="G5" s="122"/>
      <c r="H5" s="120" t="s">
        <v>98</v>
      </c>
      <c r="I5" s="121"/>
      <c r="J5" s="121"/>
      <c r="K5" s="122"/>
      <c r="L5" s="123" t="s">
        <v>75</v>
      </c>
      <c r="M5" s="123" t="s">
        <v>99</v>
      </c>
    </row>
    <row r="6" spans="1:13" ht="51" customHeight="1" x14ac:dyDescent="0.2">
      <c r="A6" s="124"/>
      <c r="B6" s="124"/>
      <c r="C6" s="124"/>
      <c r="D6" s="124"/>
      <c r="E6" s="124"/>
      <c r="F6" s="25" t="s">
        <v>100</v>
      </c>
      <c r="G6" s="25" t="s">
        <v>101</v>
      </c>
      <c r="H6" s="25" t="s">
        <v>3</v>
      </c>
      <c r="I6" s="25" t="s">
        <v>72</v>
      </c>
      <c r="J6" s="25" t="s">
        <v>73</v>
      </c>
      <c r="K6" s="25" t="s">
        <v>74</v>
      </c>
      <c r="L6" s="124"/>
      <c r="M6" s="124"/>
    </row>
    <row r="7" spans="1:13" ht="13.15" customHeight="1" x14ac:dyDescent="0.2">
      <c r="A7" s="26">
        <v>-1</v>
      </c>
      <c r="B7" s="26">
        <v>-2</v>
      </c>
      <c r="C7" s="26">
        <v>-3</v>
      </c>
      <c r="D7" s="26" t="s">
        <v>102</v>
      </c>
      <c r="E7" s="26">
        <v>-5</v>
      </c>
      <c r="F7" s="26">
        <v>-6</v>
      </c>
      <c r="G7" s="26">
        <v>-7</v>
      </c>
      <c r="H7" s="26">
        <v>-8</v>
      </c>
      <c r="I7" s="26">
        <v>-9</v>
      </c>
      <c r="J7" s="26">
        <v>-10</v>
      </c>
      <c r="K7" s="26">
        <v>-11</v>
      </c>
      <c r="L7" s="26">
        <v>-12</v>
      </c>
      <c r="M7" s="27" t="s">
        <v>103</v>
      </c>
    </row>
    <row r="8" spans="1:13" ht="13.15" customHeight="1" x14ac:dyDescent="0.2">
      <c r="A8" s="28"/>
      <c r="B8" s="29" t="s">
        <v>104</v>
      </c>
      <c r="C8" s="30">
        <v>593863.72</v>
      </c>
      <c r="D8" s="31">
        <f>E8+F8+G8</f>
        <v>7744.57</v>
      </c>
      <c r="E8" s="31">
        <f t="shared" ref="E8:K8" si="0">SUM(E9:E30)</f>
        <v>0</v>
      </c>
      <c r="F8" s="31">
        <f t="shared" si="0"/>
        <v>7309.9299999999994</v>
      </c>
      <c r="G8" s="31">
        <f t="shared" si="0"/>
        <v>434.64</v>
      </c>
      <c r="H8" s="31">
        <f t="shared" si="0"/>
        <v>6927.58</v>
      </c>
      <c r="I8" s="31">
        <f t="shared" si="0"/>
        <v>2716.5600000000004</v>
      </c>
      <c r="J8" s="31">
        <f t="shared" si="0"/>
        <v>2054.58</v>
      </c>
      <c r="K8" s="31">
        <f t="shared" si="0"/>
        <v>2156.44</v>
      </c>
      <c r="L8" s="32">
        <f>SUM(L9:L30)</f>
        <v>816.99</v>
      </c>
      <c r="M8" s="33">
        <f>ROUND((E8+F8)*100/C8,2)</f>
        <v>1.23</v>
      </c>
    </row>
    <row r="9" spans="1:13" ht="13.15" customHeight="1" x14ac:dyDescent="0.2">
      <c r="A9" s="34">
        <v>1</v>
      </c>
      <c r="B9" s="35" t="s">
        <v>105</v>
      </c>
      <c r="C9" s="36">
        <v>7789</v>
      </c>
      <c r="D9" s="37">
        <f>E9+F9+G9</f>
        <v>86.12</v>
      </c>
      <c r="E9" s="38">
        <v>0</v>
      </c>
      <c r="F9" s="38">
        <v>86.12</v>
      </c>
      <c r="G9" s="38">
        <v>0</v>
      </c>
      <c r="H9" s="38">
        <v>86.12</v>
      </c>
      <c r="I9" s="38">
        <v>86.12</v>
      </c>
      <c r="J9" s="38">
        <v>0</v>
      </c>
      <c r="K9" s="38">
        <v>0</v>
      </c>
      <c r="L9" s="39"/>
      <c r="M9" s="40">
        <f>ROUND((E9+F9)*100/C9,2)</f>
        <v>1.1100000000000001</v>
      </c>
    </row>
    <row r="10" spans="1:13" ht="13.15" customHeight="1" x14ac:dyDescent="0.2">
      <c r="A10" s="41">
        <v>2</v>
      </c>
      <c r="B10" s="42" t="s">
        <v>106</v>
      </c>
      <c r="C10" s="43">
        <v>7781.9999999999991</v>
      </c>
      <c r="D10" s="37">
        <f t="shared" ref="D10:D30" si="1">E10+F10+G10</f>
        <v>122.78</v>
      </c>
      <c r="E10" s="44">
        <v>0</v>
      </c>
      <c r="F10" s="44">
        <v>122.41</v>
      </c>
      <c r="G10" s="44">
        <v>0.37</v>
      </c>
      <c r="H10" s="44">
        <v>122.78</v>
      </c>
      <c r="I10" s="44">
        <v>122.78</v>
      </c>
      <c r="J10" s="44">
        <v>0</v>
      </c>
      <c r="K10" s="44">
        <v>0</v>
      </c>
      <c r="L10" s="45">
        <v>0</v>
      </c>
      <c r="M10" s="40">
        <f t="shared" ref="M10:M30" si="2">ROUND((E10+F10)*100/C10,2)</f>
        <v>1.57</v>
      </c>
    </row>
    <row r="11" spans="1:13" ht="13.15" customHeight="1" x14ac:dyDescent="0.2">
      <c r="A11" s="34">
        <v>3</v>
      </c>
      <c r="B11" s="46" t="s">
        <v>107</v>
      </c>
      <c r="C11" s="47">
        <v>6741</v>
      </c>
      <c r="D11" s="37">
        <f t="shared" si="1"/>
        <v>241.73</v>
      </c>
      <c r="E11" s="48">
        <v>0</v>
      </c>
      <c r="F11" s="48">
        <v>241.73</v>
      </c>
      <c r="G11" s="48">
        <v>0</v>
      </c>
      <c r="H11" s="48">
        <v>207.8</v>
      </c>
      <c r="I11" s="48">
        <v>0</v>
      </c>
      <c r="J11" s="48">
        <v>207.8</v>
      </c>
      <c r="K11" s="49">
        <v>0</v>
      </c>
      <c r="L11" s="50">
        <v>33.93</v>
      </c>
      <c r="M11" s="40">
        <f t="shared" si="2"/>
        <v>3.59</v>
      </c>
    </row>
    <row r="12" spans="1:13" ht="13.15" customHeight="1" x14ac:dyDescent="0.2">
      <c r="A12" s="41">
        <v>4</v>
      </c>
      <c r="B12" s="46" t="s">
        <v>108</v>
      </c>
      <c r="C12" s="47">
        <v>10641</v>
      </c>
      <c r="D12" s="37">
        <f t="shared" si="1"/>
        <v>75.03</v>
      </c>
      <c r="E12" s="48">
        <v>0</v>
      </c>
      <c r="F12" s="48">
        <v>75.03</v>
      </c>
      <c r="G12" s="48">
        <v>0</v>
      </c>
      <c r="H12" s="48">
        <v>75.03</v>
      </c>
      <c r="I12" s="48">
        <v>0</v>
      </c>
      <c r="J12" s="48">
        <v>75.03</v>
      </c>
      <c r="K12" s="48">
        <v>0</v>
      </c>
      <c r="L12" s="50">
        <v>0</v>
      </c>
      <c r="M12" s="40">
        <f t="shared" si="2"/>
        <v>0.71</v>
      </c>
    </row>
    <row r="13" spans="1:13" ht="13.15" customHeight="1" x14ac:dyDescent="0.2">
      <c r="A13" s="34">
        <v>5</v>
      </c>
      <c r="B13" s="46" t="s">
        <v>109</v>
      </c>
      <c r="C13" s="47">
        <v>6515.0000000000009</v>
      </c>
      <c r="D13" s="37">
        <f t="shared" si="1"/>
        <v>47.7</v>
      </c>
      <c r="E13" s="48">
        <v>0</v>
      </c>
      <c r="F13" s="48">
        <v>46.2</v>
      </c>
      <c r="G13" s="48">
        <v>1.5</v>
      </c>
      <c r="H13" s="48">
        <v>47.7</v>
      </c>
      <c r="I13" s="48">
        <v>0</v>
      </c>
      <c r="J13" s="48">
        <v>0</v>
      </c>
      <c r="K13" s="48">
        <v>47.7</v>
      </c>
      <c r="L13" s="50">
        <v>0</v>
      </c>
      <c r="M13" s="40">
        <f t="shared" si="2"/>
        <v>0.71</v>
      </c>
    </row>
    <row r="14" spans="1:13" ht="13.15" customHeight="1" x14ac:dyDescent="0.2">
      <c r="A14" s="41">
        <v>6</v>
      </c>
      <c r="B14" s="51" t="s">
        <v>110</v>
      </c>
      <c r="C14" s="52">
        <v>7942</v>
      </c>
      <c r="D14" s="37">
        <f t="shared" si="1"/>
        <v>121.99000000000001</v>
      </c>
      <c r="E14" s="53">
        <v>0</v>
      </c>
      <c r="F14" s="48">
        <v>117.56</v>
      </c>
      <c r="G14" s="48">
        <v>4.43</v>
      </c>
      <c r="H14" s="48">
        <v>121.99000000000001</v>
      </c>
      <c r="I14" s="48">
        <v>35.17</v>
      </c>
      <c r="J14" s="53">
        <v>0</v>
      </c>
      <c r="K14" s="48">
        <v>86.82</v>
      </c>
      <c r="L14" s="54">
        <v>0</v>
      </c>
      <c r="M14" s="40">
        <f t="shared" si="2"/>
        <v>1.48</v>
      </c>
    </row>
    <row r="15" spans="1:13" ht="13.15" customHeight="1" x14ac:dyDescent="0.2">
      <c r="A15" s="34">
        <v>7</v>
      </c>
      <c r="B15" s="55" t="s">
        <v>111</v>
      </c>
      <c r="C15" s="43">
        <v>11988</v>
      </c>
      <c r="D15" s="37">
        <f t="shared" si="1"/>
        <v>490.71</v>
      </c>
      <c r="E15" s="44">
        <v>0</v>
      </c>
      <c r="F15" s="44">
        <v>443.84</v>
      </c>
      <c r="G15" s="44">
        <v>46.87</v>
      </c>
      <c r="H15" s="44">
        <v>490.71</v>
      </c>
      <c r="I15" s="44">
        <v>0</v>
      </c>
      <c r="J15" s="44">
        <v>0</v>
      </c>
      <c r="K15" s="44">
        <v>490.71</v>
      </c>
      <c r="L15" s="45"/>
      <c r="M15" s="40">
        <f t="shared" si="2"/>
        <v>3.7</v>
      </c>
    </row>
    <row r="16" spans="1:13" ht="13.15" customHeight="1" x14ac:dyDescent="0.2">
      <c r="A16" s="41">
        <v>8</v>
      </c>
      <c r="B16" s="51" t="s">
        <v>112</v>
      </c>
      <c r="C16" s="52">
        <v>7858</v>
      </c>
      <c r="D16" s="37">
        <f t="shared" si="1"/>
        <v>1157.08</v>
      </c>
      <c r="E16" s="53">
        <v>0</v>
      </c>
      <c r="F16" s="48">
        <v>1123.46</v>
      </c>
      <c r="G16" s="48">
        <v>33.619999999999997</v>
      </c>
      <c r="H16" s="48">
        <v>1157.08</v>
      </c>
      <c r="I16" s="56">
        <v>0</v>
      </c>
      <c r="J16" s="53">
        <v>0</v>
      </c>
      <c r="K16" s="48">
        <v>1157.08</v>
      </c>
      <c r="L16" s="57"/>
      <c r="M16" s="40">
        <f t="shared" si="2"/>
        <v>14.3</v>
      </c>
    </row>
    <row r="17" spans="1:13" ht="13.15" customHeight="1" x14ac:dyDescent="0.2">
      <c r="A17" s="34">
        <v>9</v>
      </c>
      <c r="B17" s="35" t="s">
        <v>113</v>
      </c>
      <c r="C17" s="36">
        <v>8991</v>
      </c>
      <c r="D17" s="37">
        <f t="shared" si="1"/>
        <v>99.589999999999989</v>
      </c>
      <c r="E17" s="38">
        <v>0</v>
      </c>
      <c r="F17" s="38">
        <v>86.74</v>
      </c>
      <c r="G17" s="38">
        <v>12.85</v>
      </c>
      <c r="H17" s="38">
        <v>99.59</v>
      </c>
      <c r="I17" s="38">
        <v>0</v>
      </c>
      <c r="J17" s="38">
        <v>0</v>
      </c>
      <c r="K17" s="58">
        <v>99.59</v>
      </c>
      <c r="L17" s="39"/>
      <c r="M17" s="40">
        <f t="shared" si="2"/>
        <v>0.96</v>
      </c>
    </row>
    <row r="18" spans="1:13" ht="13.15" customHeight="1" x14ac:dyDescent="0.2">
      <c r="A18" s="41">
        <v>10</v>
      </c>
      <c r="B18" s="35" t="s">
        <v>114</v>
      </c>
      <c r="C18" s="36">
        <v>8490</v>
      </c>
      <c r="D18" s="37">
        <f t="shared" si="1"/>
        <v>551.69000000000005</v>
      </c>
      <c r="E18" s="38">
        <v>0</v>
      </c>
      <c r="F18" s="38">
        <v>551.69000000000005</v>
      </c>
      <c r="G18" s="38">
        <v>0</v>
      </c>
      <c r="H18" s="38">
        <v>541.62</v>
      </c>
      <c r="I18" s="38">
        <v>541.62</v>
      </c>
      <c r="J18" s="38">
        <v>0</v>
      </c>
      <c r="K18" s="38">
        <v>0</v>
      </c>
      <c r="L18" s="39">
        <v>10.07</v>
      </c>
      <c r="M18" s="40">
        <f t="shared" si="2"/>
        <v>6.5</v>
      </c>
    </row>
    <row r="19" spans="1:13" ht="13.15" customHeight="1" x14ac:dyDescent="0.2">
      <c r="A19" s="34">
        <v>11</v>
      </c>
      <c r="B19" s="35" t="s">
        <v>115</v>
      </c>
      <c r="C19" s="36">
        <v>10267</v>
      </c>
      <c r="D19" s="37">
        <f t="shared" si="1"/>
        <v>811.69</v>
      </c>
      <c r="E19" s="38">
        <v>0</v>
      </c>
      <c r="F19" s="38">
        <v>811.69</v>
      </c>
      <c r="G19" s="38">
        <v>0</v>
      </c>
      <c r="H19" s="38">
        <v>811.69</v>
      </c>
      <c r="I19" s="38">
        <v>811.69</v>
      </c>
      <c r="J19" s="38">
        <v>0</v>
      </c>
      <c r="K19" s="38">
        <v>0</v>
      </c>
      <c r="L19" s="39">
        <v>0</v>
      </c>
      <c r="M19" s="40">
        <f t="shared" si="2"/>
        <v>7.91</v>
      </c>
    </row>
    <row r="20" spans="1:13" ht="13.15" customHeight="1" x14ac:dyDescent="0.2">
      <c r="A20" s="41">
        <v>12</v>
      </c>
      <c r="B20" s="46" t="s">
        <v>116</v>
      </c>
      <c r="C20" s="47">
        <v>3901</v>
      </c>
      <c r="D20" s="37">
        <f t="shared" si="1"/>
        <v>12.1</v>
      </c>
      <c r="E20" s="48">
        <v>0</v>
      </c>
      <c r="F20" s="48">
        <v>12.1</v>
      </c>
      <c r="G20" s="48">
        <v>0</v>
      </c>
      <c r="H20" s="48">
        <v>12.1</v>
      </c>
      <c r="I20" s="48">
        <v>0</v>
      </c>
      <c r="J20" s="48">
        <v>12.1</v>
      </c>
      <c r="K20" s="48">
        <v>0</v>
      </c>
      <c r="L20" s="50">
        <v>0</v>
      </c>
      <c r="M20" s="40">
        <f t="shared" si="2"/>
        <v>0.31</v>
      </c>
    </row>
    <row r="21" spans="1:13" ht="13.15" customHeight="1" x14ac:dyDescent="0.2">
      <c r="A21" s="34">
        <v>13</v>
      </c>
      <c r="B21" s="46" t="s">
        <v>117</v>
      </c>
      <c r="C21" s="47">
        <v>5035</v>
      </c>
      <c r="D21" s="37">
        <f t="shared" si="1"/>
        <v>60.95</v>
      </c>
      <c r="E21" s="48">
        <v>0</v>
      </c>
      <c r="F21" s="48">
        <v>60.95</v>
      </c>
      <c r="G21" s="48">
        <v>0</v>
      </c>
      <c r="H21" s="48">
        <v>60.95</v>
      </c>
      <c r="I21" s="48">
        <v>0</v>
      </c>
      <c r="J21" s="48">
        <v>60.95</v>
      </c>
      <c r="K21" s="48">
        <v>0</v>
      </c>
      <c r="L21" s="50"/>
      <c r="M21" s="40">
        <f t="shared" si="2"/>
        <v>1.21</v>
      </c>
    </row>
    <row r="22" spans="1:13" ht="13.15" customHeight="1" x14ac:dyDescent="0.2">
      <c r="A22" s="41">
        <v>14</v>
      </c>
      <c r="B22" s="59" t="s">
        <v>118</v>
      </c>
      <c r="C22" s="60">
        <v>7754.0000000000009</v>
      </c>
      <c r="D22" s="37">
        <f t="shared" si="1"/>
        <v>39.53</v>
      </c>
      <c r="E22" s="38">
        <v>0</v>
      </c>
      <c r="F22" s="38">
        <v>38.68</v>
      </c>
      <c r="G22" s="38">
        <v>0.85</v>
      </c>
      <c r="H22" s="38">
        <v>39.53</v>
      </c>
      <c r="I22" s="38">
        <v>0</v>
      </c>
      <c r="J22" s="38">
        <v>39.53</v>
      </c>
      <c r="K22" s="38">
        <v>0</v>
      </c>
      <c r="L22" s="39"/>
      <c r="M22" s="40">
        <f t="shared" si="2"/>
        <v>0.5</v>
      </c>
    </row>
    <row r="23" spans="1:13" ht="13.15" customHeight="1" x14ac:dyDescent="0.2">
      <c r="A23" s="34">
        <v>15</v>
      </c>
      <c r="B23" s="46" t="s">
        <v>119</v>
      </c>
      <c r="C23" s="47">
        <v>3796</v>
      </c>
      <c r="D23" s="37">
        <f t="shared" si="1"/>
        <v>26.02</v>
      </c>
      <c r="E23" s="48">
        <v>0</v>
      </c>
      <c r="F23" s="48">
        <v>23.08</v>
      </c>
      <c r="G23" s="48">
        <v>2.94</v>
      </c>
      <c r="H23" s="48">
        <v>26.02</v>
      </c>
      <c r="I23" s="48">
        <v>0</v>
      </c>
      <c r="J23" s="48">
        <v>26.02</v>
      </c>
      <c r="K23" s="48">
        <v>0</v>
      </c>
      <c r="L23" s="50"/>
      <c r="M23" s="40">
        <f t="shared" si="2"/>
        <v>0.61</v>
      </c>
    </row>
    <row r="24" spans="1:13" ht="13.15" customHeight="1" x14ac:dyDescent="0.2">
      <c r="A24" s="41">
        <v>16</v>
      </c>
      <c r="B24" s="46" t="s">
        <v>120</v>
      </c>
      <c r="C24" s="47">
        <v>17500</v>
      </c>
      <c r="D24" s="37">
        <f t="shared" si="1"/>
        <v>851.94</v>
      </c>
      <c r="E24" s="48">
        <v>0</v>
      </c>
      <c r="F24" s="48">
        <v>848.58</v>
      </c>
      <c r="G24" s="48">
        <v>3.3600000000000003</v>
      </c>
      <c r="H24" s="48">
        <v>851.94</v>
      </c>
      <c r="I24" s="48">
        <v>0</v>
      </c>
      <c r="J24" s="48">
        <v>851.94</v>
      </c>
      <c r="K24" s="48">
        <v>0</v>
      </c>
      <c r="L24" s="50">
        <v>0</v>
      </c>
      <c r="M24" s="40">
        <f t="shared" si="2"/>
        <v>4.8499999999999996</v>
      </c>
    </row>
    <row r="25" spans="1:13" ht="13.15" customHeight="1" x14ac:dyDescent="0.2">
      <c r="A25" s="34">
        <v>17</v>
      </c>
      <c r="B25" s="46" t="s">
        <v>121</v>
      </c>
      <c r="C25" s="47">
        <v>9539</v>
      </c>
      <c r="D25" s="37">
        <f t="shared" si="1"/>
        <v>84.890000000000015</v>
      </c>
      <c r="E25" s="48">
        <v>0</v>
      </c>
      <c r="F25" s="48">
        <v>81.580000000000013</v>
      </c>
      <c r="G25" s="48">
        <v>3.31</v>
      </c>
      <c r="H25" s="48">
        <v>69.59</v>
      </c>
      <c r="I25" s="48">
        <v>0</v>
      </c>
      <c r="J25" s="48">
        <v>0</v>
      </c>
      <c r="K25" s="48">
        <v>69.59</v>
      </c>
      <c r="L25" s="50">
        <v>15.3</v>
      </c>
      <c r="M25" s="40">
        <f t="shared" si="2"/>
        <v>0.86</v>
      </c>
    </row>
    <row r="26" spans="1:13" ht="13.15" customHeight="1" x14ac:dyDescent="0.2">
      <c r="A26" s="41">
        <v>18</v>
      </c>
      <c r="B26" s="46" t="s">
        <v>122</v>
      </c>
      <c r="C26" s="47">
        <v>8940</v>
      </c>
      <c r="D26" s="37">
        <f t="shared" si="1"/>
        <v>842.75</v>
      </c>
      <c r="E26" s="48">
        <v>0</v>
      </c>
      <c r="F26" s="48">
        <v>764.69</v>
      </c>
      <c r="G26" s="48">
        <v>78.06</v>
      </c>
      <c r="H26" s="48">
        <v>85.91</v>
      </c>
      <c r="I26" s="48">
        <v>0</v>
      </c>
      <c r="J26" s="48">
        <v>55.42</v>
      </c>
      <c r="K26" s="48">
        <v>30.49</v>
      </c>
      <c r="L26" s="50">
        <v>756.84</v>
      </c>
      <c r="M26" s="40">
        <f t="shared" si="2"/>
        <v>8.5500000000000007</v>
      </c>
    </row>
    <row r="27" spans="1:13" ht="13.15" customHeight="1" x14ac:dyDescent="0.2">
      <c r="A27" s="34">
        <v>19</v>
      </c>
      <c r="B27" s="46" t="s">
        <v>123</v>
      </c>
      <c r="C27" s="47">
        <v>8019</v>
      </c>
      <c r="D27" s="37">
        <f t="shared" si="1"/>
        <v>103.39</v>
      </c>
      <c r="E27" s="48">
        <v>0</v>
      </c>
      <c r="F27" s="48">
        <v>103.39</v>
      </c>
      <c r="G27" s="48">
        <v>0</v>
      </c>
      <c r="H27" s="48">
        <v>103.39</v>
      </c>
      <c r="I27" s="48">
        <v>0</v>
      </c>
      <c r="J27" s="48">
        <v>0</v>
      </c>
      <c r="K27" s="48">
        <v>103.39</v>
      </c>
      <c r="L27" s="50">
        <v>0</v>
      </c>
      <c r="M27" s="40">
        <f t="shared" si="2"/>
        <v>1.29</v>
      </c>
    </row>
    <row r="28" spans="1:13" ht="13.15" customHeight="1" x14ac:dyDescent="0.2">
      <c r="A28" s="41">
        <v>20</v>
      </c>
      <c r="B28" s="46" t="s">
        <v>124</v>
      </c>
      <c r="C28" s="47">
        <v>6583</v>
      </c>
      <c r="D28" s="37">
        <f t="shared" si="1"/>
        <v>24.36</v>
      </c>
      <c r="E28" s="48">
        <v>0</v>
      </c>
      <c r="F28" s="48">
        <v>24.36</v>
      </c>
      <c r="G28" s="48">
        <v>0</v>
      </c>
      <c r="H28" s="48">
        <v>24.36</v>
      </c>
      <c r="I28" s="48">
        <v>0</v>
      </c>
      <c r="J28" s="48">
        <v>24.36</v>
      </c>
      <c r="K28" s="48">
        <v>0</v>
      </c>
      <c r="L28" s="50"/>
      <c r="M28" s="40">
        <f t="shared" si="2"/>
        <v>0.37</v>
      </c>
    </row>
    <row r="29" spans="1:13" ht="13.15" customHeight="1" x14ac:dyDescent="0.2">
      <c r="A29" s="34">
        <v>21</v>
      </c>
      <c r="B29" s="55" t="s">
        <v>125</v>
      </c>
      <c r="C29" s="43">
        <v>9023</v>
      </c>
      <c r="D29" s="37">
        <f t="shared" si="1"/>
        <v>1119.18</v>
      </c>
      <c r="E29" s="44">
        <v>0</v>
      </c>
      <c r="F29" s="44">
        <v>1091.43</v>
      </c>
      <c r="G29" s="44">
        <v>27.75</v>
      </c>
      <c r="H29" s="44">
        <v>1119.18</v>
      </c>
      <c r="I29" s="44">
        <v>1119.18</v>
      </c>
      <c r="J29" s="44">
        <v>0</v>
      </c>
      <c r="K29" s="44">
        <v>0</v>
      </c>
      <c r="L29" s="45">
        <v>0</v>
      </c>
      <c r="M29" s="40">
        <f t="shared" si="2"/>
        <v>12.1</v>
      </c>
    </row>
    <row r="30" spans="1:13" ht="13.15" customHeight="1" x14ac:dyDescent="0.2">
      <c r="A30" s="41">
        <v>22</v>
      </c>
      <c r="B30" s="61" t="s">
        <v>126</v>
      </c>
      <c r="C30" s="43">
        <v>11376</v>
      </c>
      <c r="D30" s="37">
        <f t="shared" si="1"/>
        <v>773.35</v>
      </c>
      <c r="E30" s="44">
        <v>0</v>
      </c>
      <c r="F30" s="44">
        <v>554.62</v>
      </c>
      <c r="G30" s="44">
        <v>218.73</v>
      </c>
      <c r="H30" s="44">
        <v>772.5</v>
      </c>
      <c r="I30" s="44">
        <v>0</v>
      </c>
      <c r="J30" s="44">
        <v>701.43</v>
      </c>
      <c r="K30" s="44">
        <v>71.069999999999993</v>
      </c>
      <c r="L30" s="45">
        <v>0.85</v>
      </c>
      <c r="M30" s="40">
        <f t="shared" si="2"/>
        <v>4.88</v>
      </c>
    </row>
  </sheetData>
  <mergeCells count="13">
    <mergeCell ref="A1:M1"/>
    <mergeCell ref="A2:M2"/>
    <mergeCell ref="A4:M4"/>
    <mergeCell ref="A3:M3"/>
    <mergeCell ref="H5:K5"/>
    <mergeCell ref="L5:L6"/>
    <mergeCell ref="M5:M6"/>
    <mergeCell ref="A5:A6"/>
    <mergeCell ref="B5:B6"/>
    <mergeCell ref="C5:C6"/>
    <mergeCell ref="D5:D6"/>
    <mergeCell ref="E5:E6"/>
    <mergeCell ref="F5:G5"/>
  </mergeCells>
  <pageMargins left="0.78" right="0.7" top="0.3" bottom="0.75" header="0.3" footer="0.3"/>
  <pageSetup paperSize="9" scale="9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1417A-CE4B-485D-8E5D-347CC17F2A9F}">
  <dimension ref="A1:P22"/>
  <sheetViews>
    <sheetView showZeros="0" zoomScaleNormal="100" workbookViewId="0">
      <selection activeCell="S6" sqref="S6"/>
    </sheetView>
  </sheetViews>
  <sheetFormatPr defaultColWidth="9.140625" defaultRowHeight="12" x14ac:dyDescent="0.2"/>
  <cols>
    <col min="1" max="1" width="5.7109375" style="3" customWidth="1"/>
    <col min="2" max="2" width="39.140625" style="3" customWidth="1"/>
    <col min="3" max="16" width="8.7109375" style="3" customWidth="1"/>
    <col min="17" max="16384" width="9.140625" style="3"/>
  </cols>
  <sheetData>
    <row r="1" spans="1:16" ht="21" customHeight="1" x14ac:dyDescent="0.2">
      <c r="A1" s="109" t="s">
        <v>191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</row>
    <row r="2" spans="1:16" x14ac:dyDescent="0.2">
      <c r="A2" s="111" t="s">
        <v>186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</row>
    <row r="3" spans="1:16" x14ac:dyDescent="0.2">
      <c r="A3" s="110" t="s">
        <v>140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</row>
    <row r="4" spans="1:16" x14ac:dyDescent="0.2">
      <c r="A4" s="116" t="s">
        <v>0</v>
      </c>
      <c r="B4" s="116" t="s">
        <v>1</v>
      </c>
      <c r="C4" s="115" t="s">
        <v>2</v>
      </c>
      <c r="D4" s="115" t="s">
        <v>127</v>
      </c>
      <c r="E4" s="115" t="s">
        <v>128</v>
      </c>
      <c r="F4" s="115" t="s">
        <v>129</v>
      </c>
      <c r="G4" s="115" t="s">
        <v>130</v>
      </c>
      <c r="H4" s="115" t="s">
        <v>131</v>
      </c>
      <c r="I4" s="115" t="s">
        <v>132</v>
      </c>
      <c r="J4" s="115" t="s">
        <v>133</v>
      </c>
      <c r="K4" s="115" t="s">
        <v>134</v>
      </c>
      <c r="L4" s="115" t="s">
        <v>135</v>
      </c>
      <c r="M4" s="115" t="s">
        <v>136</v>
      </c>
      <c r="N4" s="115" t="s">
        <v>137</v>
      </c>
      <c r="O4" s="115" t="s">
        <v>138</v>
      </c>
      <c r="P4" s="115" t="s">
        <v>139</v>
      </c>
    </row>
    <row r="5" spans="1:16" ht="75.599999999999994" customHeight="1" x14ac:dyDescent="0.2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</row>
    <row r="6" spans="1:16" ht="13.15" customHeight="1" x14ac:dyDescent="0.2">
      <c r="A6" s="10" t="s">
        <v>14</v>
      </c>
      <c r="B6" s="10" t="s">
        <v>15</v>
      </c>
      <c r="C6" s="14" t="s">
        <v>16</v>
      </c>
      <c r="D6" s="14" t="s">
        <v>17</v>
      </c>
      <c r="E6" s="14" t="s">
        <v>18</v>
      </c>
      <c r="F6" s="14" t="s">
        <v>19</v>
      </c>
      <c r="G6" s="14" t="s">
        <v>20</v>
      </c>
      <c r="H6" s="14" t="s">
        <v>21</v>
      </c>
      <c r="I6" s="14" t="s">
        <v>22</v>
      </c>
      <c r="J6" s="14" t="s">
        <v>23</v>
      </c>
      <c r="K6" s="14" t="s">
        <v>24</v>
      </c>
      <c r="L6" s="14" t="s">
        <v>25</v>
      </c>
      <c r="M6" s="14" t="s">
        <v>26</v>
      </c>
      <c r="N6" s="14" t="s">
        <v>27</v>
      </c>
      <c r="O6" s="14" t="s">
        <v>87</v>
      </c>
      <c r="P6" s="14" t="s">
        <v>88</v>
      </c>
    </row>
    <row r="7" spans="1:16" ht="13.15" customHeight="1" x14ac:dyDescent="0.2">
      <c r="A7" s="16"/>
      <c r="B7" s="8" t="s">
        <v>28</v>
      </c>
      <c r="C7" s="62" t="s">
        <v>29</v>
      </c>
      <c r="D7" s="9">
        <v>-260.95</v>
      </c>
      <c r="E7" s="9">
        <v>183.45</v>
      </c>
      <c r="F7" s="9">
        <v>0</v>
      </c>
      <c r="G7" s="9">
        <v>0</v>
      </c>
      <c r="H7" s="9">
        <v>-434.85</v>
      </c>
      <c r="I7" s="9">
        <v>0</v>
      </c>
      <c r="J7" s="9">
        <v>-0.46</v>
      </c>
      <c r="K7" s="9">
        <v>-1.1600000000000001</v>
      </c>
      <c r="L7" s="9">
        <v>-7.93</v>
      </c>
      <c r="M7" s="9">
        <v>0</v>
      </c>
      <c r="N7" s="9">
        <v>0</v>
      </c>
      <c r="O7" s="9">
        <v>0</v>
      </c>
      <c r="P7" s="9">
        <v>-1.1600000000000001</v>
      </c>
    </row>
    <row r="8" spans="1:16" ht="13.15" customHeight="1" x14ac:dyDescent="0.2">
      <c r="A8" s="1" t="s">
        <v>30</v>
      </c>
      <c r="B8" s="8" t="s">
        <v>31</v>
      </c>
      <c r="C8" s="63" t="s">
        <v>32</v>
      </c>
      <c r="D8" s="9">
        <v>-272.87</v>
      </c>
      <c r="E8" s="9">
        <v>0</v>
      </c>
      <c r="F8" s="9">
        <v>171.53</v>
      </c>
      <c r="G8" s="9">
        <v>0</v>
      </c>
      <c r="H8" s="9">
        <v>-434.85</v>
      </c>
      <c r="I8" s="9">
        <v>0</v>
      </c>
      <c r="J8" s="9">
        <v>-0.46</v>
      </c>
      <c r="K8" s="9">
        <v>-1.1600000000000001</v>
      </c>
      <c r="L8" s="9">
        <v>-7.93</v>
      </c>
      <c r="M8" s="9">
        <v>0</v>
      </c>
      <c r="N8" s="9">
        <v>0</v>
      </c>
      <c r="O8" s="9">
        <v>0</v>
      </c>
      <c r="P8" s="9">
        <v>-1.1600000000000001</v>
      </c>
    </row>
    <row r="9" spans="1:16" ht="13.15" customHeight="1" x14ac:dyDescent="0.2">
      <c r="A9" s="10">
        <v>1</v>
      </c>
      <c r="B9" s="11" t="s">
        <v>34</v>
      </c>
      <c r="C9" s="64" t="s">
        <v>35</v>
      </c>
      <c r="D9" s="12">
        <v>-272.87</v>
      </c>
      <c r="E9" s="12">
        <v>0</v>
      </c>
      <c r="F9" s="12">
        <v>171.53</v>
      </c>
      <c r="G9" s="12">
        <v>0</v>
      </c>
      <c r="H9" s="12">
        <v>-434.85</v>
      </c>
      <c r="I9" s="12">
        <v>0</v>
      </c>
      <c r="J9" s="12">
        <v>-0.46</v>
      </c>
      <c r="K9" s="12">
        <v>-1.1600000000000001</v>
      </c>
      <c r="L9" s="12">
        <v>-7.93</v>
      </c>
      <c r="M9" s="12">
        <v>0</v>
      </c>
      <c r="N9" s="12">
        <v>0</v>
      </c>
      <c r="O9" s="12">
        <v>0</v>
      </c>
      <c r="P9" s="12">
        <v>-1.1600000000000001</v>
      </c>
    </row>
    <row r="10" spans="1:16" ht="13.15" customHeight="1" x14ac:dyDescent="0.2">
      <c r="A10" s="23"/>
      <c r="B10" s="11" t="s">
        <v>36</v>
      </c>
      <c r="C10" s="64" t="s">
        <v>37</v>
      </c>
      <c r="D10" s="12">
        <v>-17.240000000000002</v>
      </c>
      <c r="E10" s="12">
        <v>0</v>
      </c>
      <c r="F10" s="12">
        <v>0</v>
      </c>
      <c r="G10" s="12">
        <v>0</v>
      </c>
      <c r="H10" s="12">
        <v>-8.24</v>
      </c>
      <c r="I10" s="12">
        <v>0</v>
      </c>
      <c r="J10" s="12">
        <v>-0.46</v>
      </c>
      <c r="K10" s="12">
        <v>-0.6100000000000001</v>
      </c>
      <c r="L10" s="12">
        <v>-7.93</v>
      </c>
      <c r="M10" s="12">
        <v>0</v>
      </c>
      <c r="N10" s="12">
        <v>0</v>
      </c>
      <c r="O10" s="12">
        <v>0</v>
      </c>
      <c r="P10" s="12">
        <v>-0.6100000000000001</v>
      </c>
    </row>
    <row r="11" spans="1:16" ht="13.15" customHeight="1" x14ac:dyDescent="0.2">
      <c r="A11" s="23"/>
      <c r="B11" s="11" t="s">
        <v>38</v>
      </c>
      <c r="C11" s="64" t="s">
        <v>39</v>
      </c>
      <c r="D11" s="12">
        <v>-227.95</v>
      </c>
      <c r="E11" s="12">
        <v>0</v>
      </c>
      <c r="F11" s="12">
        <v>171.53</v>
      </c>
      <c r="G11" s="12">
        <v>0</v>
      </c>
      <c r="H11" s="12">
        <v>-398.93</v>
      </c>
      <c r="I11" s="12">
        <v>0</v>
      </c>
      <c r="J11" s="12">
        <v>0</v>
      </c>
      <c r="K11" s="12">
        <v>-0.55000000000000004</v>
      </c>
      <c r="L11" s="12">
        <v>0</v>
      </c>
      <c r="M11" s="12">
        <v>0</v>
      </c>
      <c r="N11" s="12">
        <v>0</v>
      </c>
      <c r="O11" s="12">
        <v>0</v>
      </c>
      <c r="P11" s="12">
        <v>-0.55000000000000004</v>
      </c>
    </row>
    <row r="12" spans="1:16" ht="13.15" customHeight="1" x14ac:dyDescent="0.2">
      <c r="A12" s="23"/>
      <c r="B12" s="11" t="s">
        <v>40</v>
      </c>
      <c r="C12" s="64" t="s">
        <v>41</v>
      </c>
      <c r="D12" s="9">
        <v>-27.68</v>
      </c>
      <c r="E12" s="9">
        <v>0</v>
      </c>
      <c r="F12" s="9">
        <v>0</v>
      </c>
      <c r="G12" s="9">
        <v>0</v>
      </c>
      <c r="H12" s="9">
        <v>-27.68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</row>
    <row r="13" spans="1:16" ht="13.15" customHeight="1" x14ac:dyDescent="0.2">
      <c r="A13" s="1" t="s">
        <v>42</v>
      </c>
      <c r="B13" s="8" t="s">
        <v>43</v>
      </c>
      <c r="C13" s="63" t="s">
        <v>44</v>
      </c>
      <c r="D13" s="9">
        <v>-272.87</v>
      </c>
      <c r="E13" s="9">
        <v>0</v>
      </c>
      <c r="F13" s="9">
        <v>171.53</v>
      </c>
      <c r="G13" s="9">
        <v>0</v>
      </c>
      <c r="H13" s="9">
        <v>-434.85</v>
      </c>
      <c r="I13" s="9">
        <v>0</v>
      </c>
      <c r="J13" s="9">
        <v>-0.46</v>
      </c>
      <c r="K13" s="9">
        <v>-1.1600000000000001</v>
      </c>
      <c r="L13" s="9">
        <v>-7.93</v>
      </c>
      <c r="M13" s="9">
        <v>0</v>
      </c>
      <c r="N13" s="9">
        <v>0</v>
      </c>
      <c r="O13" s="9">
        <v>0</v>
      </c>
      <c r="P13" s="9">
        <v>-1.1600000000000001</v>
      </c>
    </row>
    <row r="14" spans="1:16" ht="13.15" customHeight="1" x14ac:dyDescent="0.2">
      <c r="A14" s="10">
        <v>1</v>
      </c>
      <c r="B14" s="11" t="s">
        <v>51</v>
      </c>
      <c r="C14" s="64" t="s">
        <v>52</v>
      </c>
      <c r="D14" s="12">
        <v>-272.87</v>
      </c>
      <c r="E14" s="12">
        <v>0</v>
      </c>
      <c r="F14" s="12">
        <v>171.53</v>
      </c>
      <c r="G14" s="12">
        <v>0</v>
      </c>
      <c r="H14" s="12">
        <v>-434.85</v>
      </c>
      <c r="I14" s="12">
        <v>0</v>
      </c>
      <c r="J14" s="12">
        <v>-0.46</v>
      </c>
      <c r="K14" s="12">
        <v>-1.1600000000000001</v>
      </c>
      <c r="L14" s="12">
        <v>-7.93</v>
      </c>
      <c r="M14" s="12">
        <v>0</v>
      </c>
      <c r="N14" s="12">
        <v>0</v>
      </c>
      <c r="O14" s="12">
        <v>0</v>
      </c>
      <c r="P14" s="12">
        <v>-1.1600000000000001</v>
      </c>
    </row>
    <row r="15" spans="1:16" ht="13.15" customHeight="1" x14ac:dyDescent="0.2">
      <c r="A15" s="23"/>
      <c r="B15" s="11" t="s">
        <v>53</v>
      </c>
      <c r="C15" s="64" t="s">
        <v>54</v>
      </c>
      <c r="D15" s="12">
        <v>61.1</v>
      </c>
      <c r="E15" s="12">
        <v>0</v>
      </c>
      <c r="F15" s="12">
        <v>61.46</v>
      </c>
      <c r="G15" s="12">
        <v>0</v>
      </c>
      <c r="H15" s="12">
        <v>0</v>
      </c>
      <c r="I15" s="12">
        <v>0</v>
      </c>
      <c r="J15" s="12">
        <v>-0.3</v>
      </c>
      <c r="K15" s="12">
        <v>-0.06</v>
      </c>
      <c r="L15" s="12">
        <v>0</v>
      </c>
      <c r="M15" s="12">
        <v>0</v>
      </c>
      <c r="N15" s="12">
        <v>0</v>
      </c>
      <c r="O15" s="12">
        <v>0</v>
      </c>
      <c r="P15" s="12">
        <v>-0.06</v>
      </c>
    </row>
    <row r="16" spans="1:16" ht="13.15" customHeight="1" x14ac:dyDescent="0.2">
      <c r="A16" s="23"/>
      <c r="B16" s="11" t="s">
        <v>55</v>
      </c>
      <c r="C16" s="64" t="s">
        <v>56</v>
      </c>
      <c r="D16" s="12">
        <v>-325.33999999999997</v>
      </c>
      <c r="E16" s="12">
        <v>0</v>
      </c>
      <c r="F16" s="12">
        <v>110.07</v>
      </c>
      <c r="G16" s="12">
        <v>0</v>
      </c>
      <c r="H16" s="12">
        <v>-434.85</v>
      </c>
      <c r="I16" s="12">
        <v>0</v>
      </c>
      <c r="J16" s="12">
        <v>0</v>
      </c>
      <c r="K16" s="12">
        <v>-0.56000000000000005</v>
      </c>
      <c r="L16" s="12">
        <v>0</v>
      </c>
      <c r="M16" s="12">
        <v>0</v>
      </c>
      <c r="N16" s="12">
        <v>0</v>
      </c>
      <c r="O16" s="12">
        <v>0</v>
      </c>
      <c r="P16" s="12">
        <v>-0.56000000000000005</v>
      </c>
    </row>
    <row r="17" spans="1:16" ht="13.15" customHeight="1" x14ac:dyDescent="0.2">
      <c r="A17" s="23"/>
      <c r="B17" s="11" t="s">
        <v>57</v>
      </c>
      <c r="C17" s="64" t="s">
        <v>58</v>
      </c>
      <c r="D17" s="12">
        <v>-8.629999999999999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-0.16</v>
      </c>
      <c r="K17" s="12">
        <v>-0.54</v>
      </c>
      <c r="L17" s="12">
        <v>-7.93</v>
      </c>
      <c r="M17" s="12">
        <v>0</v>
      </c>
      <c r="N17" s="12">
        <v>0</v>
      </c>
      <c r="O17" s="12">
        <v>0</v>
      </c>
      <c r="P17" s="12">
        <v>-0.54</v>
      </c>
    </row>
    <row r="18" spans="1:16" ht="13.15" customHeight="1" x14ac:dyDescent="0.2">
      <c r="A18" s="10">
        <v>2</v>
      </c>
      <c r="B18" s="11" t="s">
        <v>60</v>
      </c>
      <c r="C18" s="64" t="s">
        <v>61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</row>
    <row r="19" spans="1:16" ht="13.15" customHeight="1" x14ac:dyDescent="0.2">
      <c r="A19" s="1" t="s">
        <v>93</v>
      </c>
      <c r="B19" s="8" t="s">
        <v>63</v>
      </c>
      <c r="C19" s="62" t="s">
        <v>64</v>
      </c>
      <c r="D19" s="9">
        <v>271.12</v>
      </c>
      <c r="E19" s="9">
        <v>0</v>
      </c>
      <c r="F19" s="9">
        <v>-171.53</v>
      </c>
      <c r="G19" s="9">
        <v>0</v>
      </c>
      <c r="H19" s="9">
        <v>434.85</v>
      </c>
      <c r="I19" s="9">
        <v>0</v>
      </c>
      <c r="J19" s="9">
        <v>0.46</v>
      </c>
      <c r="K19" s="9">
        <v>-0.59</v>
      </c>
      <c r="L19" s="9">
        <v>7.93</v>
      </c>
      <c r="M19" s="9">
        <v>0</v>
      </c>
      <c r="N19" s="9">
        <v>0</v>
      </c>
      <c r="O19" s="9">
        <v>0</v>
      </c>
      <c r="P19" s="9">
        <v>0</v>
      </c>
    </row>
    <row r="20" spans="1:16" ht="13.15" customHeight="1" x14ac:dyDescent="0.2">
      <c r="A20" s="10" t="s">
        <v>45</v>
      </c>
      <c r="B20" s="11" t="s">
        <v>65</v>
      </c>
      <c r="C20" s="64" t="s">
        <v>66</v>
      </c>
      <c r="D20" s="12">
        <v>11.919999999999987</v>
      </c>
      <c r="E20" s="12">
        <v>183.45</v>
      </c>
      <c r="F20" s="12">
        <v>-171.53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</row>
    <row r="21" spans="1:16" ht="13.15" customHeight="1" x14ac:dyDescent="0.2">
      <c r="A21" s="10" t="s">
        <v>33</v>
      </c>
      <c r="B21" s="11" t="s">
        <v>67</v>
      </c>
      <c r="C21" s="64" t="s">
        <v>68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</row>
    <row r="22" spans="1:16" ht="13.15" customHeight="1" x14ac:dyDescent="0.2">
      <c r="A22" s="10" t="s">
        <v>50</v>
      </c>
      <c r="B22" s="11" t="s">
        <v>69</v>
      </c>
      <c r="C22" s="64" t="s">
        <v>70</v>
      </c>
      <c r="D22" s="12">
        <v>259.20000000000005</v>
      </c>
      <c r="E22" s="12">
        <v>-183.45</v>
      </c>
      <c r="F22" s="12">
        <v>0</v>
      </c>
      <c r="G22" s="12">
        <v>0</v>
      </c>
      <c r="H22" s="12">
        <v>434.85</v>
      </c>
      <c r="I22" s="12">
        <v>0</v>
      </c>
      <c r="J22" s="12">
        <v>0.46</v>
      </c>
      <c r="K22" s="12">
        <v>-0.59</v>
      </c>
      <c r="L22" s="12">
        <v>7.93</v>
      </c>
      <c r="M22" s="12">
        <v>0</v>
      </c>
      <c r="N22" s="12">
        <v>0</v>
      </c>
      <c r="O22" s="12">
        <v>0</v>
      </c>
      <c r="P22" s="12">
        <v>0</v>
      </c>
    </row>
  </sheetData>
  <mergeCells count="19">
    <mergeCell ref="D4:D5"/>
    <mergeCell ref="E4:E5"/>
    <mergeCell ref="F4:F5"/>
    <mergeCell ref="M4:M5"/>
    <mergeCell ref="N4:N5"/>
    <mergeCell ref="O4:O5"/>
    <mergeCell ref="P4:P5"/>
    <mergeCell ref="A1:P1"/>
    <mergeCell ref="A2:P2"/>
    <mergeCell ref="A3:P3"/>
    <mergeCell ref="G4:G5"/>
    <mergeCell ref="H4:H5"/>
    <mergeCell ref="I4:I5"/>
    <mergeCell ref="J4:J5"/>
    <mergeCell ref="K4:K5"/>
    <mergeCell ref="L4:L5"/>
    <mergeCell ref="A4:A5"/>
    <mergeCell ref="B4:B5"/>
    <mergeCell ref="C4:C5"/>
  </mergeCells>
  <pageMargins left="0.09" right="0.08" top="0.31" bottom="0.75" header="0.31" footer="0.3"/>
  <pageSetup paperSize="9" scale="9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28AB-26F7-4550-B68C-8D63C5A53BD4}">
  <dimension ref="A1:I71"/>
  <sheetViews>
    <sheetView workbookViewId="0">
      <selection activeCell="Q18" sqref="Q18"/>
    </sheetView>
  </sheetViews>
  <sheetFormatPr defaultRowHeight="12.75" x14ac:dyDescent="0.2"/>
  <cols>
    <col min="1" max="1" width="4" style="65" customWidth="1"/>
    <col min="2" max="2" width="34" style="65" customWidth="1"/>
    <col min="3" max="3" width="13.42578125" style="65" customWidth="1"/>
    <col min="4" max="4" width="12.5703125" style="65" customWidth="1"/>
    <col min="5" max="5" width="11.140625" style="65" customWidth="1"/>
    <col min="6" max="6" width="12" style="65" customWidth="1"/>
    <col min="7" max="7" width="14.5703125" style="65" customWidth="1"/>
    <col min="8" max="8" width="27" style="65" customWidth="1"/>
    <col min="9" max="9" width="27.85546875" style="65" customWidth="1"/>
    <col min="10" max="255" width="9.140625" style="65"/>
    <col min="256" max="256" width="4" style="65" customWidth="1"/>
    <col min="257" max="257" width="34" style="65" customWidth="1"/>
    <col min="258" max="258" width="13.42578125" style="65" customWidth="1"/>
    <col min="259" max="259" width="12.5703125" style="65" customWidth="1"/>
    <col min="260" max="260" width="11.140625" style="65" customWidth="1"/>
    <col min="261" max="261" width="12" style="65" customWidth="1"/>
    <col min="262" max="262" width="14.5703125" style="65" customWidth="1"/>
    <col min="263" max="263" width="27" style="65" customWidth="1"/>
    <col min="264" max="264" width="27.85546875" style="65" customWidth="1"/>
    <col min="265" max="265" width="63.85546875" style="65" customWidth="1"/>
    <col min="266" max="511" width="9.140625" style="65"/>
    <col min="512" max="512" width="4" style="65" customWidth="1"/>
    <col min="513" max="513" width="34" style="65" customWidth="1"/>
    <col min="514" max="514" width="13.42578125" style="65" customWidth="1"/>
    <col min="515" max="515" width="12.5703125" style="65" customWidth="1"/>
    <col min="516" max="516" width="11.140625" style="65" customWidth="1"/>
    <col min="517" max="517" width="12" style="65" customWidth="1"/>
    <col min="518" max="518" width="14.5703125" style="65" customWidth="1"/>
    <col min="519" max="519" width="27" style="65" customWidth="1"/>
    <col min="520" max="520" width="27.85546875" style="65" customWidth="1"/>
    <col min="521" max="521" width="63.85546875" style="65" customWidth="1"/>
    <col min="522" max="767" width="9.140625" style="65"/>
    <col min="768" max="768" width="4" style="65" customWidth="1"/>
    <col min="769" max="769" width="34" style="65" customWidth="1"/>
    <col min="770" max="770" width="13.42578125" style="65" customWidth="1"/>
    <col min="771" max="771" width="12.5703125" style="65" customWidth="1"/>
    <col min="772" max="772" width="11.140625" style="65" customWidth="1"/>
    <col min="773" max="773" width="12" style="65" customWidth="1"/>
    <col min="774" max="774" width="14.5703125" style="65" customWidth="1"/>
    <col min="775" max="775" width="27" style="65" customWidth="1"/>
    <col min="776" max="776" width="27.85546875" style="65" customWidth="1"/>
    <col min="777" max="777" width="63.85546875" style="65" customWidth="1"/>
    <col min="778" max="1023" width="9.140625" style="65"/>
    <col min="1024" max="1024" width="4" style="65" customWidth="1"/>
    <col min="1025" max="1025" width="34" style="65" customWidth="1"/>
    <col min="1026" max="1026" width="13.42578125" style="65" customWidth="1"/>
    <col min="1027" max="1027" width="12.5703125" style="65" customWidth="1"/>
    <col min="1028" max="1028" width="11.140625" style="65" customWidth="1"/>
    <col min="1029" max="1029" width="12" style="65" customWidth="1"/>
    <col min="1030" max="1030" width="14.5703125" style="65" customWidth="1"/>
    <col min="1031" max="1031" width="27" style="65" customWidth="1"/>
    <col min="1032" max="1032" width="27.85546875" style="65" customWidth="1"/>
    <col min="1033" max="1033" width="63.85546875" style="65" customWidth="1"/>
    <col min="1034" max="1279" width="9.140625" style="65"/>
    <col min="1280" max="1280" width="4" style="65" customWidth="1"/>
    <col min="1281" max="1281" width="34" style="65" customWidth="1"/>
    <col min="1282" max="1282" width="13.42578125" style="65" customWidth="1"/>
    <col min="1283" max="1283" width="12.5703125" style="65" customWidth="1"/>
    <col min="1284" max="1284" width="11.140625" style="65" customWidth="1"/>
    <col min="1285" max="1285" width="12" style="65" customWidth="1"/>
    <col min="1286" max="1286" width="14.5703125" style="65" customWidth="1"/>
    <col min="1287" max="1287" width="27" style="65" customWidth="1"/>
    <col min="1288" max="1288" width="27.85546875" style="65" customWidth="1"/>
    <col min="1289" max="1289" width="63.85546875" style="65" customWidth="1"/>
    <col min="1290" max="1535" width="9.140625" style="65"/>
    <col min="1536" max="1536" width="4" style="65" customWidth="1"/>
    <col min="1537" max="1537" width="34" style="65" customWidth="1"/>
    <col min="1538" max="1538" width="13.42578125" style="65" customWidth="1"/>
    <col min="1539" max="1539" width="12.5703125" style="65" customWidth="1"/>
    <col min="1540" max="1540" width="11.140625" style="65" customWidth="1"/>
    <col min="1541" max="1541" width="12" style="65" customWidth="1"/>
    <col min="1542" max="1542" width="14.5703125" style="65" customWidth="1"/>
    <col min="1543" max="1543" width="27" style="65" customWidth="1"/>
    <col min="1544" max="1544" width="27.85546875" style="65" customWidth="1"/>
    <col min="1545" max="1545" width="63.85546875" style="65" customWidth="1"/>
    <col min="1546" max="1791" width="9.140625" style="65"/>
    <col min="1792" max="1792" width="4" style="65" customWidth="1"/>
    <col min="1793" max="1793" width="34" style="65" customWidth="1"/>
    <col min="1794" max="1794" width="13.42578125" style="65" customWidth="1"/>
    <col min="1795" max="1795" width="12.5703125" style="65" customWidth="1"/>
    <col min="1796" max="1796" width="11.140625" style="65" customWidth="1"/>
    <col min="1797" max="1797" width="12" style="65" customWidth="1"/>
    <col min="1798" max="1798" width="14.5703125" style="65" customWidth="1"/>
    <col min="1799" max="1799" width="27" style="65" customWidth="1"/>
    <col min="1800" max="1800" width="27.85546875" style="65" customWidth="1"/>
    <col min="1801" max="1801" width="63.85546875" style="65" customWidth="1"/>
    <col min="1802" max="2047" width="9.140625" style="65"/>
    <col min="2048" max="2048" width="4" style="65" customWidth="1"/>
    <col min="2049" max="2049" width="34" style="65" customWidth="1"/>
    <col min="2050" max="2050" width="13.42578125" style="65" customWidth="1"/>
    <col min="2051" max="2051" width="12.5703125" style="65" customWidth="1"/>
    <col min="2052" max="2052" width="11.140625" style="65" customWidth="1"/>
    <col min="2053" max="2053" width="12" style="65" customWidth="1"/>
    <col min="2054" max="2054" width="14.5703125" style="65" customWidth="1"/>
    <col min="2055" max="2055" width="27" style="65" customWidth="1"/>
    <col min="2056" max="2056" width="27.85546875" style="65" customWidth="1"/>
    <col min="2057" max="2057" width="63.85546875" style="65" customWidth="1"/>
    <col min="2058" max="2303" width="9.140625" style="65"/>
    <col min="2304" max="2304" width="4" style="65" customWidth="1"/>
    <col min="2305" max="2305" width="34" style="65" customWidth="1"/>
    <col min="2306" max="2306" width="13.42578125" style="65" customWidth="1"/>
    <col min="2307" max="2307" width="12.5703125" style="65" customWidth="1"/>
    <col min="2308" max="2308" width="11.140625" style="65" customWidth="1"/>
    <col min="2309" max="2309" width="12" style="65" customWidth="1"/>
    <col min="2310" max="2310" width="14.5703125" style="65" customWidth="1"/>
    <col min="2311" max="2311" width="27" style="65" customWidth="1"/>
    <col min="2312" max="2312" width="27.85546875" style="65" customWidth="1"/>
    <col min="2313" max="2313" width="63.85546875" style="65" customWidth="1"/>
    <col min="2314" max="2559" width="9.140625" style="65"/>
    <col min="2560" max="2560" width="4" style="65" customWidth="1"/>
    <col min="2561" max="2561" width="34" style="65" customWidth="1"/>
    <col min="2562" max="2562" width="13.42578125" style="65" customWidth="1"/>
    <col min="2563" max="2563" width="12.5703125" style="65" customWidth="1"/>
    <col min="2564" max="2564" width="11.140625" style="65" customWidth="1"/>
    <col min="2565" max="2565" width="12" style="65" customWidth="1"/>
    <col min="2566" max="2566" width="14.5703125" style="65" customWidth="1"/>
    <col min="2567" max="2567" width="27" style="65" customWidth="1"/>
    <col min="2568" max="2568" width="27.85546875" style="65" customWidth="1"/>
    <col min="2569" max="2569" width="63.85546875" style="65" customWidth="1"/>
    <col min="2570" max="2815" width="9.140625" style="65"/>
    <col min="2816" max="2816" width="4" style="65" customWidth="1"/>
    <col min="2817" max="2817" width="34" style="65" customWidth="1"/>
    <col min="2818" max="2818" width="13.42578125" style="65" customWidth="1"/>
    <col min="2819" max="2819" width="12.5703125" style="65" customWidth="1"/>
    <col min="2820" max="2820" width="11.140625" style="65" customWidth="1"/>
    <col min="2821" max="2821" width="12" style="65" customWidth="1"/>
    <col min="2822" max="2822" width="14.5703125" style="65" customWidth="1"/>
    <col min="2823" max="2823" width="27" style="65" customWidth="1"/>
    <col min="2824" max="2824" width="27.85546875" style="65" customWidth="1"/>
    <col min="2825" max="2825" width="63.85546875" style="65" customWidth="1"/>
    <col min="2826" max="3071" width="9.140625" style="65"/>
    <col min="3072" max="3072" width="4" style="65" customWidth="1"/>
    <col min="3073" max="3073" width="34" style="65" customWidth="1"/>
    <col min="3074" max="3074" width="13.42578125" style="65" customWidth="1"/>
    <col min="3075" max="3075" width="12.5703125" style="65" customWidth="1"/>
    <col min="3076" max="3076" width="11.140625" style="65" customWidth="1"/>
    <col min="3077" max="3077" width="12" style="65" customWidth="1"/>
    <col min="3078" max="3078" width="14.5703125" style="65" customWidth="1"/>
    <col min="3079" max="3079" width="27" style="65" customWidth="1"/>
    <col min="3080" max="3080" width="27.85546875" style="65" customWidth="1"/>
    <col min="3081" max="3081" width="63.85546875" style="65" customWidth="1"/>
    <col min="3082" max="3327" width="9.140625" style="65"/>
    <col min="3328" max="3328" width="4" style="65" customWidth="1"/>
    <col min="3329" max="3329" width="34" style="65" customWidth="1"/>
    <col min="3330" max="3330" width="13.42578125" style="65" customWidth="1"/>
    <col min="3331" max="3331" width="12.5703125" style="65" customWidth="1"/>
    <col min="3332" max="3332" width="11.140625" style="65" customWidth="1"/>
    <col min="3333" max="3333" width="12" style="65" customWidth="1"/>
    <col min="3334" max="3334" width="14.5703125" style="65" customWidth="1"/>
    <col min="3335" max="3335" width="27" style="65" customWidth="1"/>
    <col min="3336" max="3336" width="27.85546875" style="65" customWidth="1"/>
    <col min="3337" max="3337" width="63.85546875" style="65" customWidth="1"/>
    <col min="3338" max="3583" width="9.140625" style="65"/>
    <col min="3584" max="3584" width="4" style="65" customWidth="1"/>
    <col min="3585" max="3585" width="34" style="65" customWidth="1"/>
    <col min="3586" max="3586" width="13.42578125" style="65" customWidth="1"/>
    <col min="3587" max="3587" width="12.5703125" style="65" customWidth="1"/>
    <col min="3588" max="3588" width="11.140625" style="65" customWidth="1"/>
    <col min="3589" max="3589" width="12" style="65" customWidth="1"/>
    <col min="3590" max="3590" width="14.5703125" style="65" customWidth="1"/>
    <col min="3591" max="3591" width="27" style="65" customWidth="1"/>
    <col min="3592" max="3592" width="27.85546875" style="65" customWidth="1"/>
    <col min="3593" max="3593" width="63.85546875" style="65" customWidth="1"/>
    <col min="3594" max="3839" width="9.140625" style="65"/>
    <col min="3840" max="3840" width="4" style="65" customWidth="1"/>
    <col min="3841" max="3841" width="34" style="65" customWidth="1"/>
    <col min="3842" max="3842" width="13.42578125" style="65" customWidth="1"/>
    <col min="3843" max="3843" width="12.5703125" style="65" customWidth="1"/>
    <col min="3844" max="3844" width="11.140625" style="65" customWidth="1"/>
    <col min="3845" max="3845" width="12" style="65" customWidth="1"/>
    <col min="3846" max="3846" width="14.5703125" style="65" customWidth="1"/>
    <col min="3847" max="3847" width="27" style="65" customWidth="1"/>
    <col min="3848" max="3848" width="27.85546875" style="65" customWidth="1"/>
    <col min="3849" max="3849" width="63.85546875" style="65" customWidth="1"/>
    <col min="3850" max="4095" width="9.140625" style="65"/>
    <col min="4096" max="4096" width="4" style="65" customWidth="1"/>
    <col min="4097" max="4097" width="34" style="65" customWidth="1"/>
    <col min="4098" max="4098" width="13.42578125" style="65" customWidth="1"/>
    <col min="4099" max="4099" width="12.5703125" style="65" customWidth="1"/>
    <col min="4100" max="4100" width="11.140625" style="65" customWidth="1"/>
    <col min="4101" max="4101" width="12" style="65" customWidth="1"/>
    <col min="4102" max="4102" width="14.5703125" style="65" customWidth="1"/>
    <col min="4103" max="4103" width="27" style="65" customWidth="1"/>
    <col min="4104" max="4104" width="27.85546875" style="65" customWidth="1"/>
    <col min="4105" max="4105" width="63.85546875" style="65" customWidth="1"/>
    <col min="4106" max="4351" width="9.140625" style="65"/>
    <col min="4352" max="4352" width="4" style="65" customWidth="1"/>
    <col min="4353" max="4353" width="34" style="65" customWidth="1"/>
    <col min="4354" max="4354" width="13.42578125" style="65" customWidth="1"/>
    <col min="4355" max="4355" width="12.5703125" style="65" customWidth="1"/>
    <col min="4356" max="4356" width="11.140625" style="65" customWidth="1"/>
    <col min="4357" max="4357" width="12" style="65" customWidth="1"/>
    <col min="4358" max="4358" width="14.5703125" style="65" customWidth="1"/>
    <col min="4359" max="4359" width="27" style="65" customWidth="1"/>
    <col min="4360" max="4360" width="27.85546875" style="65" customWidth="1"/>
    <col min="4361" max="4361" width="63.85546875" style="65" customWidth="1"/>
    <col min="4362" max="4607" width="9.140625" style="65"/>
    <col min="4608" max="4608" width="4" style="65" customWidth="1"/>
    <col min="4609" max="4609" width="34" style="65" customWidth="1"/>
    <col min="4610" max="4610" width="13.42578125" style="65" customWidth="1"/>
    <col min="4611" max="4611" width="12.5703125" style="65" customWidth="1"/>
    <col min="4612" max="4612" width="11.140625" style="65" customWidth="1"/>
    <col min="4613" max="4613" width="12" style="65" customWidth="1"/>
    <col min="4614" max="4614" width="14.5703125" style="65" customWidth="1"/>
    <col min="4615" max="4615" width="27" style="65" customWidth="1"/>
    <col min="4616" max="4616" width="27.85546875" style="65" customWidth="1"/>
    <col min="4617" max="4617" width="63.85546875" style="65" customWidth="1"/>
    <col min="4618" max="4863" width="9.140625" style="65"/>
    <col min="4864" max="4864" width="4" style="65" customWidth="1"/>
    <col min="4865" max="4865" width="34" style="65" customWidth="1"/>
    <col min="4866" max="4866" width="13.42578125" style="65" customWidth="1"/>
    <col min="4867" max="4867" width="12.5703125" style="65" customWidth="1"/>
    <col min="4868" max="4868" width="11.140625" style="65" customWidth="1"/>
    <col min="4869" max="4869" width="12" style="65" customWidth="1"/>
    <col min="4870" max="4870" width="14.5703125" style="65" customWidth="1"/>
    <col min="4871" max="4871" width="27" style="65" customWidth="1"/>
    <col min="4872" max="4872" width="27.85546875" style="65" customWidth="1"/>
    <col min="4873" max="4873" width="63.85546875" style="65" customWidth="1"/>
    <col min="4874" max="5119" width="9.140625" style="65"/>
    <col min="5120" max="5120" width="4" style="65" customWidth="1"/>
    <col min="5121" max="5121" width="34" style="65" customWidth="1"/>
    <col min="5122" max="5122" width="13.42578125" style="65" customWidth="1"/>
    <col min="5123" max="5123" width="12.5703125" style="65" customWidth="1"/>
    <col min="5124" max="5124" width="11.140625" style="65" customWidth="1"/>
    <col min="5125" max="5125" width="12" style="65" customWidth="1"/>
    <col min="5126" max="5126" width="14.5703125" style="65" customWidth="1"/>
    <col min="5127" max="5127" width="27" style="65" customWidth="1"/>
    <col min="5128" max="5128" width="27.85546875" style="65" customWidth="1"/>
    <col min="5129" max="5129" width="63.85546875" style="65" customWidth="1"/>
    <col min="5130" max="5375" width="9.140625" style="65"/>
    <col min="5376" max="5376" width="4" style="65" customWidth="1"/>
    <col min="5377" max="5377" width="34" style="65" customWidth="1"/>
    <col min="5378" max="5378" width="13.42578125" style="65" customWidth="1"/>
    <col min="5379" max="5379" width="12.5703125" style="65" customWidth="1"/>
    <col min="5380" max="5380" width="11.140625" style="65" customWidth="1"/>
    <col min="5381" max="5381" width="12" style="65" customWidth="1"/>
    <col min="5382" max="5382" width="14.5703125" style="65" customWidth="1"/>
    <col min="5383" max="5383" width="27" style="65" customWidth="1"/>
    <col min="5384" max="5384" width="27.85546875" style="65" customWidth="1"/>
    <col min="5385" max="5385" width="63.85546875" style="65" customWidth="1"/>
    <col min="5386" max="5631" width="9.140625" style="65"/>
    <col min="5632" max="5632" width="4" style="65" customWidth="1"/>
    <col min="5633" max="5633" width="34" style="65" customWidth="1"/>
    <col min="5634" max="5634" width="13.42578125" style="65" customWidth="1"/>
    <col min="5635" max="5635" width="12.5703125" style="65" customWidth="1"/>
    <col min="5636" max="5636" width="11.140625" style="65" customWidth="1"/>
    <col min="5637" max="5637" width="12" style="65" customWidth="1"/>
    <col min="5638" max="5638" width="14.5703125" style="65" customWidth="1"/>
    <col min="5639" max="5639" width="27" style="65" customWidth="1"/>
    <col min="5640" max="5640" width="27.85546875" style="65" customWidth="1"/>
    <col min="5641" max="5641" width="63.85546875" style="65" customWidth="1"/>
    <col min="5642" max="5887" width="9.140625" style="65"/>
    <col min="5888" max="5888" width="4" style="65" customWidth="1"/>
    <col min="5889" max="5889" width="34" style="65" customWidth="1"/>
    <col min="5890" max="5890" width="13.42578125" style="65" customWidth="1"/>
    <col min="5891" max="5891" width="12.5703125" style="65" customWidth="1"/>
    <col min="5892" max="5892" width="11.140625" style="65" customWidth="1"/>
    <col min="5893" max="5893" width="12" style="65" customWidth="1"/>
    <col min="5894" max="5894" width="14.5703125" style="65" customWidth="1"/>
    <col min="5895" max="5895" width="27" style="65" customWidth="1"/>
    <col min="5896" max="5896" width="27.85546875" style="65" customWidth="1"/>
    <col min="5897" max="5897" width="63.85546875" style="65" customWidth="1"/>
    <col min="5898" max="6143" width="9.140625" style="65"/>
    <col min="6144" max="6144" width="4" style="65" customWidth="1"/>
    <col min="6145" max="6145" width="34" style="65" customWidth="1"/>
    <col min="6146" max="6146" width="13.42578125" style="65" customWidth="1"/>
    <col min="6147" max="6147" width="12.5703125" style="65" customWidth="1"/>
    <col min="6148" max="6148" width="11.140625" style="65" customWidth="1"/>
    <col min="6149" max="6149" width="12" style="65" customWidth="1"/>
    <col min="6150" max="6150" width="14.5703125" style="65" customWidth="1"/>
    <col min="6151" max="6151" width="27" style="65" customWidth="1"/>
    <col min="6152" max="6152" width="27.85546875" style="65" customWidth="1"/>
    <col min="6153" max="6153" width="63.85546875" style="65" customWidth="1"/>
    <col min="6154" max="6399" width="9.140625" style="65"/>
    <col min="6400" max="6400" width="4" style="65" customWidth="1"/>
    <col min="6401" max="6401" width="34" style="65" customWidth="1"/>
    <col min="6402" max="6402" width="13.42578125" style="65" customWidth="1"/>
    <col min="6403" max="6403" width="12.5703125" style="65" customWidth="1"/>
    <col min="6404" max="6404" width="11.140625" style="65" customWidth="1"/>
    <col min="6405" max="6405" width="12" style="65" customWidth="1"/>
    <col min="6406" max="6406" width="14.5703125" style="65" customWidth="1"/>
    <col min="6407" max="6407" width="27" style="65" customWidth="1"/>
    <col min="6408" max="6408" width="27.85546875" style="65" customWidth="1"/>
    <col min="6409" max="6409" width="63.85546875" style="65" customWidth="1"/>
    <col min="6410" max="6655" width="9.140625" style="65"/>
    <col min="6656" max="6656" width="4" style="65" customWidth="1"/>
    <col min="6657" max="6657" width="34" style="65" customWidth="1"/>
    <col min="6658" max="6658" width="13.42578125" style="65" customWidth="1"/>
    <col min="6659" max="6659" width="12.5703125" style="65" customWidth="1"/>
    <col min="6660" max="6660" width="11.140625" style="65" customWidth="1"/>
    <col min="6661" max="6661" width="12" style="65" customWidth="1"/>
    <col min="6662" max="6662" width="14.5703125" style="65" customWidth="1"/>
    <col min="6663" max="6663" width="27" style="65" customWidth="1"/>
    <col min="6664" max="6664" width="27.85546875" style="65" customWidth="1"/>
    <col min="6665" max="6665" width="63.85546875" style="65" customWidth="1"/>
    <col min="6666" max="6911" width="9.140625" style="65"/>
    <col min="6912" max="6912" width="4" style="65" customWidth="1"/>
    <col min="6913" max="6913" width="34" style="65" customWidth="1"/>
    <col min="6914" max="6914" width="13.42578125" style="65" customWidth="1"/>
    <col min="6915" max="6915" width="12.5703125" style="65" customWidth="1"/>
    <col min="6916" max="6916" width="11.140625" style="65" customWidth="1"/>
    <col min="6917" max="6917" width="12" style="65" customWidth="1"/>
    <col min="6918" max="6918" width="14.5703125" style="65" customWidth="1"/>
    <col min="6919" max="6919" width="27" style="65" customWidth="1"/>
    <col min="6920" max="6920" width="27.85546875" style="65" customWidth="1"/>
    <col min="6921" max="6921" width="63.85546875" style="65" customWidth="1"/>
    <col min="6922" max="7167" width="9.140625" style="65"/>
    <col min="7168" max="7168" width="4" style="65" customWidth="1"/>
    <col min="7169" max="7169" width="34" style="65" customWidth="1"/>
    <col min="7170" max="7170" width="13.42578125" style="65" customWidth="1"/>
    <col min="7171" max="7171" width="12.5703125" style="65" customWidth="1"/>
    <col min="7172" max="7172" width="11.140625" style="65" customWidth="1"/>
    <col min="7173" max="7173" width="12" style="65" customWidth="1"/>
    <col min="7174" max="7174" width="14.5703125" style="65" customWidth="1"/>
    <col min="7175" max="7175" width="27" style="65" customWidth="1"/>
    <col min="7176" max="7176" width="27.85546875" style="65" customWidth="1"/>
    <col min="7177" max="7177" width="63.85546875" style="65" customWidth="1"/>
    <col min="7178" max="7423" width="9.140625" style="65"/>
    <col min="7424" max="7424" width="4" style="65" customWidth="1"/>
    <col min="7425" max="7425" width="34" style="65" customWidth="1"/>
    <col min="7426" max="7426" width="13.42578125" style="65" customWidth="1"/>
    <col min="7427" max="7427" width="12.5703125" style="65" customWidth="1"/>
    <col min="7428" max="7428" width="11.140625" style="65" customWidth="1"/>
    <col min="7429" max="7429" width="12" style="65" customWidth="1"/>
    <col min="7430" max="7430" width="14.5703125" style="65" customWidth="1"/>
    <col min="7431" max="7431" width="27" style="65" customWidth="1"/>
    <col min="7432" max="7432" width="27.85546875" style="65" customWidth="1"/>
    <col min="7433" max="7433" width="63.85546875" style="65" customWidth="1"/>
    <col min="7434" max="7679" width="9.140625" style="65"/>
    <col min="7680" max="7680" width="4" style="65" customWidth="1"/>
    <col min="7681" max="7681" width="34" style="65" customWidth="1"/>
    <col min="7682" max="7682" width="13.42578125" style="65" customWidth="1"/>
    <col min="7683" max="7683" width="12.5703125" style="65" customWidth="1"/>
    <col min="7684" max="7684" width="11.140625" style="65" customWidth="1"/>
    <col min="7685" max="7685" width="12" style="65" customWidth="1"/>
    <col min="7686" max="7686" width="14.5703125" style="65" customWidth="1"/>
    <col min="7687" max="7687" width="27" style="65" customWidth="1"/>
    <col min="7688" max="7688" width="27.85546875" style="65" customWidth="1"/>
    <col min="7689" max="7689" width="63.85546875" style="65" customWidth="1"/>
    <col min="7690" max="7935" width="9.140625" style="65"/>
    <col min="7936" max="7936" width="4" style="65" customWidth="1"/>
    <col min="7937" max="7937" width="34" style="65" customWidth="1"/>
    <col min="7938" max="7938" width="13.42578125" style="65" customWidth="1"/>
    <col min="7939" max="7939" width="12.5703125" style="65" customWidth="1"/>
    <col min="7940" max="7940" width="11.140625" style="65" customWidth="1"/>
    <col min="7941" max="7941" width="12" style="65" customWidth="1"/>
    <col min="7942" max="7942" width="14.5703125" style="65" customWidth="1"/>
    <col min="7943" max="7943" width="27" style="65" customWidth="1"/>
    <col min="7944" max="7944" width="27.85546875" style="65" customWidth="1"/>
    <col min="7945" max="7945" width="63.85546875" style="65" customWidth="1"/>
    <col min="7946" max="8191" width="9.140625" style="65"/>
    <col min="8192" max="8192" width="4" style="65" customWidth="1"/>
    <col min="8193" max="8193" width="34" style="65" customWidth="1"/>
    <col min="8194" max="8194" width="13.42578125" style="65" customWidth="1"/>
    <col min="8195" max="8195" width="12.5703125" style="65" customWidth="1"/>
    <col min="8196" max="8196" width="11.140625" style="65" customWidth="1"/>
    <col min="8197" max="8197" width="12" style="65" customWidth="1"/>
    <col min="8198" max="8198" width="14.5703125" style="65" customWidth="1"/>
    <col min="8199" max="8199" width="27" style="65" customWidth="1"/>
    <col min="8200" max="8200" width="27.85546875" style="65" customWidth="1"/>
    <col min="8201" max="8201" width="63.85546875" style="65" customWidth="1"/>
    <col min="8202" max="8447" width="9.140625" style="65"/>
    <col min="8448" max="8448" width="4" style="65" customWidth="1"/>
    <col min="8449" max="8449" width="34" style="65" customWidth="1"/>
    <col min="8450" max="8450" width="13.42578125" style="65" customWidth="1"/>
    <col min="8451" max="8451" width="12.5703125" style="65" customWidth="1"/>
    <col min="8452" max="8452" width="11.140625" style="65" customWidth="1"/>
    <col min="8453" max="8453" width="12" style="65" customWidth="1"/>
    <col min="8454" max="8454" width="14.5703125" style="65" customWidth="1"/>
    <col min="8455" max="8455" width="27" style="65" customWidth="1"/>
    <col min="8456" max="8456" width="27.85546875" style="65" customWidth="1"/>
    <col min="8457" max="8457" width="63.85546875" style="65" customWidth="1"/>
    <col min="8458" max="8703" width="9.140625" style="65"/>
    <col min="8704" max="8704" width="4" style="65" customWidth="1"/>
    <col min="8705" max="8705" width="34" style="65" customWidth="1"/>
    <col min="8706" max="8706" width="13.42578125" style="65" customWidth="1"/>
    <col min="8707" max="8707" width="12.5703125" style="65" customWidth="1"/>
    <col min="8708" max="8708" width="11.140625" style="65" customWidth="1"/>
    <col min="8709" max="8709" width="12" style="65" customWidth="1"/>
    <col min="8710" max="8710" width="14.5703125" style="65" customWidth="1"/>
    <col min="8711" max="8711" width="27" style="65" customWidth="1"/>
    <col min="8712" max="8712" width="27.85546875" style="65" customWidth="1"/>
    <col min="8713" max="8713" width="63.85546875" style="65" customWidth="1"/>
    <col min="8714" max="8959" width="9.140625" style="65"/>
    <col min="8960" max="8960" width="4" style="65" customWidth="1"/>
    <col min="8961" max="8961" width="34" style="65" customWidth="1"/>
    <col min="8962" max="8962" width="13.42578125" style="65" customWidth="1"/>
    <col min="8963" max="8963" width="12.5703125" style="65" customWidth="1"/>
    <col min="8964" max="8964" width="11.140625" style="65" customWidth="1"/>
    <col min="8965" max="8965" width="12" style="65" customWidth="1"/>
    <col min="8966" max="8966" width="14.5703125" style="65" customWidth="1"/>
    <col min="8967" max="8967" width="27" style="65" customWidth="1"/>
    <col min="8968" max="8968" width="27.85546875" style="65" customWidth="1"/>
    <col min="8969" max="8969" width="63.85546875" style="65" customWidth="1"/>
    <col min="8970" max="9215" width="9.140625" style="65"/>
    <col min="9216" max="9216" width="4" style="65" customWidth="1"/>
    <col min="9217" max="9217" width="34" style="65" customWidth="1"/>
    <col min="9218" max="9218" width="13.42578125" style="65" customWidth="1"/>
    <col min="9219" max="9219" width="12.5703125" style="65" customWidth="1"/>
    <col min="9220" max="9220" width="11.140625" style="65" customWidth="1"/>
    <col min="9221" max="9221" width="12" style="65" customWidth="1"/>
    <col min="9222" max="9222" width="14.5703125" style="65" customWidth="1"/>
    <col min="9223" max="9223" width="27" style="65" customWidth="1"/>
    <col min="9224" max="9224" width="27.85546875" style="65" customWidth="1"/>
    <col min="9225" max="9225" width="63.85546875" style="65" customWidth="1"/>
    <col min="9226" max="9471" width="9.140625" style="65"/>
    <col min="9472" max="9472" width="4" style="65" customWidth="1"/>
    <col min="9473" max="9473" width="34" style="65" customWidth="1"/>
    <col min="9474" max="9474" width="13.42578125" style="65" customWidth="1"/>
    <col min="9475" max="9475" width="12.5703125" style="65" customWidth="1"/>
    <col min="9476" max="9476" width="11.140625" style="65" customWidth="1"/>
    <col min="9477" max="9477" width="12" style="65" customWidth="1"/>
    <col min="9478" max="9478" width="14.5703125" style="65" customWidth="1"/>
    <col min="9479" max="9479" width="27" style="65" customWidth="1"/>
    <col min="9480" max="9480" width="27.85546875" style="65" customWidth="1"/>
    <col min="9481" max="9481" width="63.85546875" style="65" customWidth="1"/>
    <col min="9482" max="9727" width="9.140625" style="65"/>
    <col min="9728" max="9728" width="4" style="65" customWidth="1"/>
    <col min="9729" max="9729" width="34" style="65" customWidth="1"/>
    <col min="9730" max="9730" width="13.42578125" style="65" customWidth="1"/>
    <col min="9731" max="9731" width="12.5703125" style="65" customWidth="1"/>
    <col min="9732" max="9732" width="11.140625" style="65" customWidth="1"/>
    <col min="9733" max="9733" width="12" style="65" customWidth="1"/>
    <col min="9734" max="9734" width="14.5703125" style="65" customWidth="1"/>
    <col min="9735" max="9735" width="27" style="65" customWidth="1"/>
    <col min="9736" max="9736" width="27.85546875" style="65" customWidth="1"/>
    <col min="9737" max="9737" width="63.85546875" style="65" customWidth="1"/>
    <col min="9738" max="9983" width="9.140625" style="65"/>
    <col min="9984" max="9984" width="4" style="65" customWidth="1"/>
    <col min="9985" max="9985" width="34" style="65" customWidth="1"/>
    <col min="9986" max="9986" width="13.42578125" style="65" customWidth="1"/>
    <col min="9987" max="9987" width="12.5703125" style="65" customWidth="1"/>
    <col min="9988" max="9988" width="11.140625" style="65" customWidth="1"/>
    <col min="9989" max="9989" width="12" style="65" customWidth="1"/>
    <col min="9990" max="9990" width="14.5703125" style="65" customWidth="1"/>
    <col min="9991" max="9991" width="27" style="65" customWidth="1"/>
    <col min="9992" max="9992" width="27.85546875" style="65" customWidth="1"/>
    <col min="9993" max="9993" width="63.85546875" style="65" customWidth="1"/>
    <col min="9994" max="10239" width="9.140625" style="65"/>
    <col min="10240" max="10240" width="4" style="65" customWidth="1"/>
    <col min="10241" max="10241" width="34" style="65" customWidth="1"/>
    <col min="10242" max="10242" width="13.42578125" style="65" customWidth="1"/>
    <col min="10243" max="10243" width="12.5703125" style="65" customWidth="1"/>
    <col min="10244" max="10244" width="11.140625" style="65" customWidth="1"/>
    <col min="10245" max="10245" width="12" style="65" customWidth="1"/>
    <col min="10246" max="10246" width="14.5703125" style="65" customWidth="1"/>
    <col min="10247" max="10247" width="27" style="65" customWidth="1"/>
    <col min="10248" max="10248" width="27.85546875" style="65" customWidth="1"/>
    <col min="10249" max="10249" width="63.85546875" style="65" customWidth="1"/>
    <col min="10250" max="10495" width="9.140625" style="65"/>
    <col min="10496" max="10496" width="4" style="65" customWidth="1"/>
    <col min="10497" max="10497" width="34" style="65" customWidth="1"/>
    <col min="10498" max="10498" width="13.42578125" style="65" customWidth="1"/>
    <col min="10499" max="10499" width="12.5703125" style="65" customWidth="1"/>
    <col min="10500" max="10500" width="11.140625" style="65" customWidth="1"/>
    <col min="10501" max="10501" width="12" style="65" customWidth="1"/>
    <col min="10502" max="10502" width="14.5703125" style="65" customWidth="1"/>
    <col min="10503" max="10503" width="27" style="65" customWidth="1"/>
    <col min="10504" max="10504" width="27.85546875" style="65" customWidth="1"/>
    <col min="10505" max="10505" width="63.85546875" style="65" customWidth="1"/>
    <col min="10506" max="10751" width="9.140625" style="65"/>
    <col min="10752" max="10752" width="4" style="65" customWidth="1"/>
    <col min="10753" max="10753" width="34" style="65" customWidth="1"/>
    <col min="10754" max="10754" width="13.42578125" style="65" customWidth="1"/>
    <col min="10755" max="10755" width="12.5703125" style="65" customWidth="1"/>
    <col min="10756" max="10756" width="11.140625" style="65" customWidth="1"/>
    <col min="10757" max="10757" width="12" style="65" customWidth="1"/>
    <col min="10758" max="10758" width="14.5703125" style="65" customWidth="1"/>
    <col min="10759" max="10759" width="27" style="65" customWidth="1"/>
    <col min="10760" max="10760" width="27.85546875" style="65" customWidth="1"/>
    <col min="10761" max="10761" width="63.85546875" style="65" customWidth="1"/>
    <col min="10762" max="11007" width="9.140625" style="65"/>
    <col min="11008" max="11008" width="4" style="65" customWidth="1"/>
    <col min="11009" max="11009" width="34" style="65" customWidth="1"/>
    <col min="11010" max="11010" width="13.42578125" style="65" customWidth="1"/>
    <col min="11011" max="11011" width="12.5703125" style="65" customWidth="1"/>
    <col min="11012" max="11012" width="11.140625" style="65" customWidth="1"/>
    <col min="11013" max="11013" width="12" style="65" customWidth="1"/>
    <col min="11014" max="11014" width="14.5703125" style="65" customWidth="1"/>
    <col min="11015" max="11015" width="27" style="65" customWidth="1"/>
    <col min="11016" max="11016" width="27.85546875" style="65" customWidth="1"/>
    <col min="11017" max="11017" width="63.85546875" style="65" customWidth="1"/>
    <col min="11018" max="11263" width="9.140625" style="65"/>
    <col min="11264" max="11264" width="4" style="65" customWidth="1"/>
    <col min="11265" max="11265" width="34" style="65" customWidth="1"/>
    <col min="11266" max="11266" width="13.42578125" style="65" customWidth="1"/>
    <col min="11267" max="11267" width="12.5703125" style="65" customWidth="1"/>
    <col min="11268" max="11268" width="11.140625" style="65" customWidth="1"/>
    <col min="11269" max="11269" width="12" style="65" customWidth="1"/>
    <col min="11270" max="11270" width="14.5703125" style="65" customWidth="1"/>
    <col min="11271" max="11271" width="27" style="65" customWidth="1"/>
    <col min="11272" max="11272" width="27.85546875" style="65" customWidth="1"/>
    <col min="11273" max="11273" width="63.85546875" style="65" customWidth="1"/>
    <col min="11274" max="11519" width="9.140625" style="65"/>
    <col min="11520" max="11520" width="4" style="65" customWidth="1"/>
    <col min="11521" max="11521" width="34" style="65" customWidth="1"/>
    <col min="11522" max="11522" width="13.42578125" style="65" customWidth="1"/>
    <col min="11523" max="11523" width="12.5703125" style="65" customWidth="1"/>
    <col min="11524" max="11524" width="11.140625" style="65" customWidth="1"/>
    <col min="11525" max="11525" width="12" style="65" customWidth="1"/>
    <col min="11526" max="11526" width="14.5703125" style="65" customWidth="1"/>
    <col min="11527" max="11527" width="27" style="65" customWidth="1"/>
    <col min="11528" max="11528" width="27.85546875" style="65" customWidth="1"/>
    <col min="11529" max="11529" width="63.85546875" style="65" customWidth="1"/>
    <col min="11530" max="11775" width="9.140625" style="65"/>
    <col min="11776" max="11776" width="4" style="65" customWidth="1"/>
    <col min="11777" max="11777" width="34" style="65" customWidth="1"/>
    <col min="11778" max="11778" width="13.42578125" style="65" customWidth="1"/>
    <col min="11779" max="11779" width="12.5703125" style="65" customWidth="1"/>
    <col min="11780" max="11780" width="11.140625" style="65" customWidth="1"/>
    <col min="11781" max="11781" width="12" style="65" customWidth="1"/>
    <col min="11782" max="11782" width="14.5703125" style="65" customWidth="1"/>
    <col min="11783" max="11783" width="27" style="65" customWidth="1"/>
    <col min="11784" max="11784" width="27.85546875" style="65" customWidth="1"/>
    <col min="11785" max="11785" width="63.85546875" style="65" customWidth="1"/>
    <col min="11786" max="12031" width="9.140625" style="65"/>
    <col min="12032" max="12032" width="4" style="65" customWidth="1"/>
    <col min="12033" max="12033" width="34" style="65" customWidth="1"/>
    <col min="12034" max="12034" width="13.42578125" style="65" customWidth="1"/>
    <col min="12035" max="12035" width="12.5703125" style="65" customWidth="1"/>
    <col min="12036" max="12036" width="11.140625" style="65" customWidth="1"/>
    <col min="12037" max="12037" width="12" style="65" customWidth="1"/>
    <col min="12038" max="12038" width="14.5703125" style="65" customWidth="1"/>
    <col min="12039" max="12039" width="27" style="65" customWidth="1"/>
    <col min="12040" max="12040" width="27.85546875" style="65" customWidth="1"/>
    <col min="12041" max="12041" width="63.85546875" style="65" customWidth="1"/>
    <col min="12042" max="12287" width="9.140625" style="65"/>
    <col min="12288" max="12288" width="4" style="65" customWidth="1"/>
    <col min="12289" max="12289" width="34" style="65" customWidth="1"/>
    <col min="12290" max="12290" width="13.42578125" style="65" customWidth="1"/>
    <col min="12291" max="12291" width="12.5703125" style="65" customWidth="1"/>
    <col min="12292" max="12292" width="11.140625" style="65" customWidth="1"/>
    <col min="12293" max="12293" width="12" style="65" customWidth="1"/>
    <col min="12294" max="12294" width="14.5703125" style="65" customWidth="1"/>
    <col min="12295" max="12295" width="27" style="65" customWidth="1"/>
    <col min="12296" max="12296" width="27.85546875" style="65" customWidth="1"/>
    <col min="12297" max="12297" width="63.85546875" style="65" customWidth="1"/>
    <col min="12298" max="12543" width="9.140625" style="65"/>
    <col min="12544" max="12544" width="4" style="65" customWidth="1"/>
    <col min="12545" max="12545" width="34" style="65" customWidth="1"/>
    <col min="12546" max="12546" width="13.42578125" style="65" customWidth="1"/>
    <col min="12547" max="12547" width="12.5703125" style="65" customWidth="1"/>
    <col min="12548" max="12548" width="11.140625" style="65" customWidth="1"/>
    <col min="12549" max="12549" width="12" style="65" customWidth="1"/>
    <col min="12550" max="12550" width="14.5703125" style="65" customWidth="1"/>
    <col min="12551" max="12551" width="27" style="65" customWidth="1"/>
    <col min="12552" max="12552" width="27.85546875" style="65" customWidth="1"/>
    <col min="12553" max="12553" width="63.85546875" style="65" customWidth="1"/>
    <col min="12554" max="12799" width="9.140625" style="65"/>
    <col min="12800" max="12800" width="4" style="65" customWidth="1"/>
    <col min="12801" max="12801" width="34" style="65" customWidth="1"/>
    <col min="12802" max="12802" width="13.42578125" style="65" customWidth="1"/>
    <col min="12803" max="12803" width="12.5703125" style="65" customWidth="1"/>
    <col min="12804" max="12804" width="11.140625" style="65" customWidth="1"/>
    <col min="12805" max="12805" width="12" style="65" customWidth="1"/>
    <col min="12806" max="12806" width="14.5703125" style="65" customWidth="1"/>
    <col min="12807" max="12807" width="27" style="65" customWidth="1"/>
    <col min="12808" max="12808" width="27.85546875" style="65" customWidth="1"/>
    <col min="12809" max="12809" width="63.85546875" style="65" customWidth="1"/>
    <col min="12810" max="13055" width="9.140625" style="65"/>
    <col min="13056" max="13056" width="4" style="65" customWidth="1"/>
    <col min="13057" max="13057" width="34" style="65" customWidth="1"/>
    <col min="13058" max="13058" width="13.42578125" style="65" customWidth="1"/>
    <col min="13059" max="13059" width="12.5703125" style="65" customWidth="1"/>
    <col min="13060" max="13060" width="11.140625" style="65" customWidth="1"/>
    <col min="13061" max="13061" width="12" style="65" customWidth="1"/>
    <col min="13062" max="13062" width="14.5703125" style="65" customWidth="1"/>
    <col min="13063" max="13063" width="27" style="65" customWidth="1"/>
    <col min="13064" max="13064" width="27.85546875" style="65" customWidth="1"/>
    <col min="13065" max="13065" width="63.85546875" style="65" customWidth="1"/>
    <col min="13066" max="13311" width="9.140625" style="65"/>
    <col min="13312" max="13312" width="4" style="65" customWidth="1"/>
    <col min="13313" max="13313" width="34" style="65" customWidth="1"/>
    <col min="13314" max="13314" width="13.42578125" style="65" customWidth="1"/>
    <col min="13315" max="13315" width="12.5703125" style="65" customWidth="1"/>
    <col min="13316" max="13316" width="11.140625" style="65" customWidth="1"/>
    <col min="13317" max="13317" width="12" style="65" customWidth="1"/>
    <col min="13318" max="13318" width="14.5703125" style="65" customWidth="1"/>
    <col min="13319" max="13319" width="27" style="65" customWidth="1"/>
    <col min="13320" max="13320" width="27.85546875" style="65" customWidth="1"/>
    <col min="13321" max="13321" width="63.85546875" style="65" customWidth="1"/>
    <col min="13322" max="13567" width="9.140625" style="65"/>
    <col min="13568" max="13568" width="4" style="65" customWidth="1"/>
    <col min="13569" max="13569" width="34" style="65" customWidth="1"/>
    <col min="13570" max="13570" width="13.42578125" style="65" customWidth="1"/>
    <col min="13571" max="13571" width="12.5703125" style="65" customWidth="1"/>
    <col min="13572" max="13572" width="11.140625" style="65" customWidth="1"/>
    <col min="13573" max="13573" width="12" style="65" customWidth="1"/>
    <col min="13574" max="13574" width="14.5703125" style="65" customWidth="1"/>
    <col min="13575" max="13575" width="27" style="65" customWidth="1"/>
    <col min="13576" max="13576" width="27.85546875" style="65" customWidth="1"/>
    <col min="13577" max="13577" width="63.85546875" style="65" customWidth="1"/>
    <col min="13578" max="13823" width="9.140625" style="65"/>
    <col min="13824" max="13824" width="4" style="65" customWidth="1"/>
    <col min="13825" max="13825" width="34" style="65" customWidth="1"/>
    <col min="13826" max="13826" width="13.42578125" style="65" customWidth="1"/>
    <col min="13827" max="13827" width="12.5703125" style="65" customWidth="1"/>
    <col min="13828" max="13828" width="11.140625" style="65" customWidth="1"/>
    <col min="13829" max="13829" width="12" style="65" customWidth="1"/>
    <col min="13830" max="13830" width="14.5703125" style="65" customWidth="1"/>
    <col min="13831" max="13831" width="27" style="65" customWidth="1"/>
    <col min="13832" max="13832" width="27.85546875" style="65" customWidth="1"/>
    <col min="13833" max="13833" width="63.85546875" style="65" customWidth="1"/>
    <col min="13834" max="14079" width="9.140625" style="65"/>
    <col min="14080" max="14080" width="4" style="65" customWidth="1"/>
    <col min="14081" max="14081" width="34" style="65" customWidth="1"/>
    <col min="14082" max="14082" width="13.42578125" style="65" customWidth="1"/>
    <col min="14083" max="14083" width="12.5703125" style="65" customWidth="1"/>
    <col min="14084" max="14084" width="11.140625" style="65" customWidth="1"/>
    <col min="14085" max="14085" width="12" style="65" customWidth="1"/>
    <col min="14086" max="14086" width="14.5703125" style="65" customWidth="1"/>
    <col min="14087" max="14087" width="27" style="65" customWidth="1"/>
    <col min="14088" max="14088" width="27.85546875" style="65" customWidth="1"/>
    <col min="14089" max="14089" width="63.85546875" style="65" customWidth="1"/>
    <col min="14090" max="14335" width="9.140625" style="65"/>
    <col min="14336" max="14336" width="4" style="65" customWidth="1"/>
    <col min="14337" max="14337" width="34" style="65" customWidth="1"/>
    <col min="14338" max="14338" width="13.42578125" style="65" customWidth="1"/>
    <col min="14339" max="14339" width="12.5703125" style="65" customWidth="1"/>
    <col min="14340" max="14340" width="11.140625" style="65" customWidth="1"/>
    <col min="14341" max="14341" width="12" style="65" customWidth="1"/>
    <col min="14342" max="14342" width="14.5703125" style="65" customWidth="1"/>
    <col min="14343" max="14343" width="27" style="65" customWidth="1"/>
    <col min="14344" max="14344" width="27.85546875" style="65" customWidth="1"/>
    <col min="14345" max="14345" width="63.85546875" style="65" customWidth="1"/>
    <col min="14346" max="14591" width="9.140625" style="65"/>
    <col min="14592" max="14592" width="4" style="65" customWidth="1"/>
    <col min="14593" max="14593" width="34" style="65" customWidth="1"/>
    <col min="14594" max="14594" width="13.42578125" style="65" customWidth="1"/>
    <col min="14595" max="14595" width="12.5703125" style="65" customWidth="1"/>
    <col min="14596" max="14596" width="11.140625" style="65" customWidth="1"/>
    <col min="14597" max="14597" width="12" style="65" customWidth="1"/>
    <col min="14598" max="14598" width="14.5703125" style="65" customWidth="1"/>
    <col min="14599" max="14599" width="27" style="65" customWidth="1"/>
    <col min="14600" max="14600" width="27.85546875" style="65" customWidth="1"/>
    <col min="14601" max="14601" width="63.85546875" style="65" customWidth="1"/>
    <col min="14602" max="14847" width="9.140625" style="65"/>
    <col min="14848" max="14848" width="4" style="65" customWidth="1"/>
    <col min="14849" max="14849" width="34" style="65" customWidth="1"/>
    <col min="14850" max="14850" width="13.42578125" style="65" customWidth="1"/>
    <col min="14851" max="14851" width="12.5703125" style="65" customWidth="1"/>
    <col min="14852" max="14852" width="11.140625" style="65" customWidth="1"/>
    <col min="14853" max="14853" width="12" style="65" customWidth="1"/>
    <col min="14854" max="14854" width="14.5703125" style="65" customWidth="1"/>
    <col min="14855" max="14855" width="27" style="65" customWidth="1"/>
    <col min="14856" max="14856" width="27.85546875" style="65" customWidth="1"/>
    <col min="14857" max="14857" width="63.85546875" style="65" customWidth="1"/>
    <col min="14858" max="15103" width="9.140625" style="65"/>
    <col min="15104" max="15104" width="4" style="65" customWidth="1"/>
    <col min="15105" max="15105" width="34" style="65" customWidth="1"/>
    <col min="15106" max="15106" width="13.42578125" style="65" customWidth="1"/>
    <col min="15107" max="15107" width="12.5703125" style="65" customWidth="1"/>
    <col min="15108" max="15108" width="11.140625" style="65" customWidth="1"/>
    <col min="15109" max="15109" width="12" style="65" customWidth="1"/>
    <col min="15110" max="15110" width="14.5703125" style="65" customWidth="1"/>
    <col min="15111" max="15111" width="27" style="65" customWidth="1"/>
    <col min="15112" max="15112" width="27.85546875" style="65" customWidth="1"/>
    <col min="15113" max="15113" width="63.85546875" style="65" customWidth="1"/>
    <col min="15114" max="15359" width="9.140625" style="65"/>
    <col min="15360" max="15360" width="4" style="65" customWidth="1"/>
    <col min="15361" max="15361" width="34" style="65" customWidth="1"/>
    <col min="15362" max="15362" width="13.42578125" style="65" customWidth="1"/>
    <col min="15363" max="15363" width="12.5703125" style="65" customWidth="1"/>
    <col min="15364" max="15364" width="11.140625" style="65" customWidth="1"/>
    <col min="15365" max="15365" width="12" style="65" customWidth="1"/>
    <col min="15366" max="15366" width="14.5703125" style="65" customWidth="1"/>
    <col min="15367" max="15367" width="27" style="65" customWidth="1"/>
    <col min="15368" max="15368" width="27.85546875" style="65" customWidth="1"/>
    <col min="15369" max="15369" width="63.85546875" style="65" customWidth="1"/>
    <col min="15370" max="15615" width="9.140625" style="65"/>
    <col min="15616" max="15616" width="4" style="65" customWidth="1"/>
    <col min="15617" max="15617" width="34" style="65" customWidth="1"/>
    <col min="15618" max="15618" width="13.42578125" style="65" customWidth="1"/>
    <col min="15619" max="15619" width="12.5703125" style="65" customWidth="1"/>
    <col min="15620" max="15620" width="11.140625" style="65" customWidth="1"/>
    <col min="15621" max="15621" width="12" style="65" customWidth="1"/>
    <col min="15622" max="15622" width="14.5703125" style="65" customWidth="1"/>
    <col min="15623" max="15623" width="27" style="65" customWidth="1"/>
    <col min="15624" max="15624" width="27.85546875" style="65" customWidth="1"/>
    <col min="15625" max="15625" width="63.85546875" style="65" customWidth="1"/>
    <col min="15626" max="15871" width="9.140625" style="65"/>
    <col min="15872" max="15872" width="4" style="65" customWidth="1"/>
    <col min="15873" max="15873" width="34" style="65" customWidth="1"/>
    <col min="15874" max="15874" width="13.42578125" style="65" customWidth="1"/>
    <col min="15875" max="15875" width="12.5703125" style="65" customWidth="1"/>
    <col min="15876" max="15876" width="11.140625" style="65" customWidth="1"/>
    <col min="15877" max="15877" width="12" style="65" customWidth="1"/>
    <col min="15878" max="15878" width="14.5703125" style="65" customWidth="1"/>
    <col min="15879" max="15879" width="27" style="65" customWidth="1"/>
    <col min="15880" max="15880" width="27.85546875" style="65" customWidth="1"/>
    <col min="15881" max="15881" width="63.85546875" style="65" customWidth="1"/>
    <col min="15882" max="16127" width="9.140625" style="65"/>
    <col min="16128" max="16128" width="4" style="65" customWidth="1"/>
    <col min="16129" max="16129" width="34" style="65" customWidth="1"/>
    <col min="16130" max="16130" width="13.42578125" style="65" customWidth="1"/>
    <col min="16131" max="16131" width="12.5703125" style="65" customWidth="1"/>
    <col min="16132" max="16132" width="11.140625" style="65" customWidth="1"/>
    <col min="16133" max="16133" width="12" style="65" customWidth="1"/>
    <col min="16134" max="16134" width="14.5703125" style="65" customWidth="1"/>
    <col min="16135" max="16135" width="27" style="65" customWidth="1"/>
    <col min="16136" max="16136" width="27.85546875" style="65" customWidth="1"/>
    <col min="16137" max="16137" width="63.85546875" style="65" customWidth="1"/>
    <col min="16138" max="16384" width="9.140625" style="65"/>
  </cols>
  <sheetData>
    <row r="1" spans="1:9" ht="23.25" customHeight="1" x14ac:dyDescent="0.2">
      <c r="A1" s="104" t="s">
        <v>192</v>
      </c>
      <c r="B1" s="104"/>
      <c r="C1" s="104"/>
      <c r="D1" s="104"/>
      <c r="E1" s="104"/>
      <c r="F1" s="104"/>
      <c r="G1" s="104"/>
      <c r="H1" s="104"/>
      <c r="I1" s="104"/>
    </row>
    <row r="2" spans="1:9" ht="15" x14ac:dyDescent="0.25">
      <c r="A2" s="66"/>
      <c r="B2" s="66"/>
      <c r="C2" s="66"/>
      <c r="D2" s="66"/>
      <c r="E2" s="66"/>
      <c r="F2" s="66"/>
      <c r="G2" s="66"/>
      <c r="H2" s="67"/>
      <c r="I2" s="68" t="s">
        <v>140</v>
      </c>
    </row>
    <row r="3" spans="1:9" ht="14.25" x14ac:dyDescent="0.2">
      <c r="A3" s="105" t="s">
        <v>0</v>
      </c>
      <c r="B3" s="105" t="s">
        <v>141</v>
      </c>
      <c r="C3" s="103" t="s">
        <v>142</v>
      </c>
      <c r="D3" s="103" t="s">
        <v>143</v>
      </c>
      <c r="E3" s="103"/>
      <c r="F3" s="103"/>
      <c r="G3" s="103"/>
      <c r="H3" s="106" t="s">
        <v>144</v>
      </c>
      <c r="I3" s="106" t="s">
        <v>145</v>
      </c>
    </row>
    <row r="4" spans="1:9" ht="14.25" x14ac:dyDescent="0.2">
      <c r="A4" s="105"/>
      <c r="B4" s="105"/>
      <c r="C4" s="103"/>
      <c r="D4" s="103" t="s">
        <v>146</v>
      </c>
      <c r="E4" s="103" t="s">
        <v>143</v>
      </c>
      <c r="F4" s="103"/>
      <c r="G4" s="103" t="s">
        <v>147</v>
      </c>
      <c r="H4" s="106"/>
      <c r="I4" s="106"/>
    </row>
    <row r="5" spans="1:9" ht="28.5" x14ac:dyDescent="0.2">
      <c r="A5" s="105"/>
      <c r="B5" s="105"/>
      <c r="C5" s="103"/>
      <c r="D5" s="103"/>
      <c r="E5" s="70" t="s">
        <v>148</v>
      </c>
      <c r="F5" s="70" t="s">
        <v>149</v>
      </c>
      <c r="G5" s="103"/>
      <c r="H5" s="106"/>
      <c r="I5" s="106"/>
    </row>
    <row r="6" spans="1:9" ht="14.25" x14ac:dyDescent="0.2">
      <c r="A6" s="71"/>
      <c r="B6" s="71" t="s">
        <v>150</v>
      </c>
      <c r="C6" s="72">
        <f>C7+C9+C11+C14+C16+C19+C21+C23+C25+C29+C31+C33+C36+C40+C45+C48+C51+C53+C56+C59+C62+C65+C67</f>
        <v>21286.9</v>
      </c>
      <c r="D6" s="72">
        <f>D7+D9+D11+D14+D16+D19+D21+D23+D25+D29+D31+D33+D36+D40+D45+D48+D51+D53+D56+D59+D62+D65+D67</f>
        <v>7744.5700000000006</v>
      </c>
      <c r="E6" s="72">
        <f>E7+E9+E11+E14+E16+E19+E21+E23+E25+E29+E31+E33+E36+E40+E45+E48+E51+E53+E56+E59+E62+E65+E67</f>
        <v>7309.93</v>
      </c>
      <c r="F6" s="72">
        <f>F7+F9+F11+F14+F16+F19+F21+F23+F25+F29+F31+F33+F36+F40+F45+F48+F51+F53+F56+F59+F62+F65+F67</f>
        <v>434.64000000000004</v>
      </c>
      <c r="G6" s="72">
        <f>G7+G9+G11+G14+G16+G19+G21+G23+G25+G29+G31+G33+G36+G40+G45+G48+G51+G53+G56+G59+G62+G65+G67</f>
        <v>13542.329999999998</v>
      </c>
      <c r="H6" s="73"/>
      <c r="I6" s="73"/>
    </row>
    <row r="7" spans="1:9" ht="14.25" x14ac:dyDescent="0.2">
      <c r="A7" s="74">
        <v>1</v>
      </c>
      <c r="B7" s="75" t="s">
        <v>118</v>
      </c>
      <c r="C7" s="76">
        <f t="shared" ref="C7:C68" si="0">D7+G7</f>
        <v>47.39</v>
      </c>
      <c r="D7" s="76">
        <f t="shared" ref="D7:D47" si="1">E7+F7</f>
        <v>39.53</v>
      </c>
      <c r="E7" s="76">
        <f>E8</f>
        <v>38.68</v>
      </c>
      <c r="F7" s="76">
        <f>F8</f>
        <v>0.85000000000000142</v>
      </c>
      <c r="G7" s="76">
        <f>G8</f>
        <v>7.8599999999999977</v>
      </c>
      <c r="H7" s="77"/>
      <c r="I7" s="77"/>
    </row>
    <row r="8" spans="1:9" ht="15" x14ac:dyDescent="0.2">
      <c r="A8" s="78"/>
      <c r="B8" s="79" t="s">
        <v>151</v>
      </c>
      <c r="C8" s="80">
        <f t="shared" si="0"/>
        <v>47.39</v>
      </c>
      <c r="D8" s="80">
        <f t="shared" si="1"/>
        <v>39.53</v>
      </c>
      <c r="E8" s="80">
        <f>'[1]B1-HTR-MDSD'!E18</f>
        <v>38.68</v>
      </c>
      <c r="F8" s="80">
        <f>'[1]B1-HTR-MDSD'!F18</f>
        <v>0.85000000000000142</v>
      </c>
      <c r="G8" s="80">
        <f>'[1]B1-HTR-MDSD'!G18</f>
        <v>7.8599999999999977</v>
      </c>
      <c r="H8" s="81" t="s">
        <v>152</v>
      </c>
      <c r="I8" s="81" t="s">
        <v>153</v>
      </c>
    </row>
    <row r="9" spans="1:9" ht="14.25" x14ac:dyDescent="0.2">
      <c r="A9" s="74">
        <v>2</v>
      </c>
      <c r="B9" s="75" t="s">
        <v>154</v>
      </c>
      <c r="C9" s="76">
        <f t="shared" si="0"/>
        <v>836.18</v>
      </c>
      <c r="D9" s="76">
        <f t="shared" si="1"/>
        <v>86.12</v>
      </c>
      <c r="E9" s="76">
        <f>E10</f>
        <v>86.12</v>
      </c>
      <c r="F9" s="76">
        <f>F10</f>
        <v>0</v>
      </c>
      <c r="G9" s="76">
        <f>G10</f>
        <v>750.06</v>
      </c>
      <c r="H9" s="77"/>
      <c r="I9" s="77"/>
    </row>
    <row r="10" spans="1:9" ht="15" x14ac:dyDescent="0.2">
      <c r="A10" s="78"/>
      <c r="B10" s="79" t="s">
        <v>155</v>
      </c>
      <c r="C10" s="80">
        <f t="shared" si="0"/>
        <v>836.18</v>
      </c>
      <c r="D10" s="80">
        <f t="shared" si="1"/>
        <v>86.12</v>
      </c>
      <c r="E10" s="80">
        <f>'[1]B1-HTR-MDSD'!E13</f>
        <v>86.12</v>
      </c>
      <c r="F10" s="80">
        <f>'[1]B1-HTR-MDSD'!F13</f>
        <v>0</v>
      </c>
      <c r="G10" s="80">
        <f>'[1]B1-HTR-MDSD'!G13</f>
        <v>750.06</v>
      </c>
      <c r="H10" s="81" t="s">
        <v>156</v>
      </c>
      <c r="I10" s="81" t="s">
        <v>157</v>
      </c>
    </row>
    <row r="11" spans="1:9" ht="15" x14ac:dyDescent="0.2">
      <c r="A11" s="74">
        <v>3</v>
      </c>
      <c r="B11" s="75" t="s">
        <v>115</v>
      </c>
      <c r="C11" s="76">
        <f t="shared" si="0"/>
        <v>2409.9700000000003</v>
      </c>
      <c r="D11" s="76">
        <f t="shared" si="1"/>
        <v>811.69</v>
      </c>
      <c r="E11" s="76">
        <f>E12+E13</f>
        <v>811.69</v>
      </c>
      <c r="F11" s="76">
        <f>F12+F13</f>
        <v>0</v>
      </c>
      <c r="G11" s="76">
        <f>G12+G13</f>
        <v>1598.2800000000002</v>
      </c>
      <c r="H11" s="82"/>
      <c r="I11" s="82"/>
    </row>
    <row r="12" spans="1:9" ht="15" x14ac:dyDescent="0.2">
      <c r="A12" s="78"/>
      <c r="B12" s="79" t="s">
        <v>155</v>
      </c>
      <c r="C12" s="80">
        <f t="shared" si="0"/>
        <v>2400.2000000000003</v>
      </c>
      <c r="D12" s="80">
        <f t="shared" si="1"/>
        <v>811.69</v>
      </c>
      <c r="E12" s="80">
        <f>'[1]B1-HTR-MDSD'!E10</f>
        <v>811.69</v>
      </c>
      <c r="F12" s="80">
        <f>'[1]B1-HTR-MDSD'!F10</f>
        <v>0</v>
      </c>
      <c r="G12" s="80">
        <f>'[1]B1-HTR-MDSD'!G10</f>
        <v>1588.5100000000002</v>
      </c>
      <c r="H12" s="81" t="s">
        <v>156</v>
      </c>
      <c r="I12" s="81" t="s">
        <v>157</v>
      </c>
    </row>
    <row r="13" spans="1:9" ht="15" x14ac:dyDescent="0.2">
      <c r="A13" s="83"/>
      <c r="B13" s="79" t="s">
        <v>158</v>
      </c>
      <c r="C13" s="80">
        <f t="shared" si="0"/>
        <v>9.77</v>
      </c>
      <c r="D13" s="80">
        <f t="shared" si="1"/>
        <v>0</v>
      </c>
      <c r="E13" s="80">
        <f>'[1]B1-HTR-MDSD'!E46</f>
        <v>0</v>
      </c>
      <c r="F13" s="80">
        <f>'[1]B1-HTR-MDSD'!F46</f>
        <v>0</v>
      </c>
      <c r="G13" s="80">
        <f>'[1]B1-HTR-MDSD'!G46</f>
        <v>9.77</v>
      </c>
      <c r="H13" s="81" t="s">
        <v>159</v>
      </c>
      <c r="I13" s="81" t="s">
        <v>160</v>
      </c>
    </row>
    <row r="14" spans="1:9" ht="15" x14ac:dyDescent="0.2">
      <c r="A14" s="74">
        <v>4</v>
      </c>
      <c r="B14" s="75" t="s">
        <v>125</v>
      </c>
      <c r="C14" s="76">
        <f t="shared" si="0"/>
        <v>1932.1000000000001</v>
      </c>
      <c r="D14" s="76">
        <f t="shared" si="1"/>
        <v>1119.18</v>
      </c>
      <c r="E14" s="76">
        <f>E15</f>
        <v>1091.43</v>
      </c>
      <c r="F14" s="76">
        <f>F15</f>
        <v>27.75</v>
      </c>
      <c r="G14" s="76">
        <f>G15</f>
        <v>812.92000000000007</v>
      </c>
      <c r="H14" s="82"/>
      <c r="I14" s="82"/>
    </row>
    <row r="15" spans="1:9" ht="15" x14ac:dyDescent="0.2">
      <c r="A15" s="78"/>
      <c r="B15" s="79" t="s">
        <v>155</v>
      </c>
      <c r="C15" s="80">
        <f t="shared" si="0"/>
        <v>1932.1000000000001</v>
      </c>
      <c r="D15" s="80">
        <f t="shared" si="1"/>
        <v>1119.18</v>
      </c>
      <c r="E15" s="80">
        <f>'[1]B1-HTR-MDSD'!E12</f>
        <v>1091.43</v>
      </c>
      <c r="F15" s="80">
        <f>'[1]B1-HTR-MDSD'!F12</f>
        <v>27.75</v>
      </c>
      <c r="G15" s="80">
        <f>'[1]B1-HTR-MDSD'!G12</f>
        <v>812.92000000000007</v>
      </c>
      <c r="H15" s="81" t="s">
        <v>156</v>
      </c>
      <c r="I15" s="81" t="s">
        <v>157</v>
      </c>
    </row>
    <row r="16" spans="1:9" ht="15" x14ac:dyDescent="0.2">
      <c r="A16" s="74">
        <v>5</v>
      </c>
      <c r="B16" s="75" t="s">
        <v>114</v>
      </c>
      <c r="C16" s="76">
        <f t="shared" si="0"/>
        <v>2153.5500000000002</v>
      </c>
      <c r="D16" s="76">
        <f t="shared" si="1"/>
        <v>551.69000000000005</v>
      </c>
      <c r="E16" s="76">
        <f>E17+E18</f>
        <v>551.69000000000005</v>
      </c>
      <c r="F16" s="76">
        <f>F17+F18</f>
        <v>0</v>
      </c>
      <c r="G16" s="76">
        <f>G17+G18</f>
        <v>1601.86</v>
      </c>
      <c r="H16" s="82"/>
      <c r="I16" s="82"/>
    </row>
    <row r="17" spans="1:9" ht="15" x14ac:dyDescent="0.2">
      <c r="A17" s="78"/>
      <c r="B17" s="79" t="s">
        <v>155</v>
      </c>
      <c r="C17" s="80">
        <f t="shared" si="0"/>
        <v>2143.48</v>
      </c>
      <c r="D17" s="80">
        <f t="shared" si="1"/>
        <v>541.62</v>
      </c>
      <c r="E17" s="80">
        <f>'[1]B1-HTR-MDSD'!E11</f>
        <v>541.62</v>
      </c>
      <c r="F17" s="80">
        <f>'[1]B1-HTR-MDSD'!F11</f>
        <v>0</v>
      </c>
      <c r="G17" s="80">
        <f>'[1]B1-HTR-MDSD'!G11</f>
        <v>1601.86</v>
      </c>
      <c r="H17" s="81" t="s">
        <v>156</v>
      </c>
      <c r="I17" s="81" t="s">
        <v>157</v>
      </c>
    </row>
    <row r="18" spans="1:9" ht="30" x14ac:dyDescent="0.2">
      <c r="A18" s="84"/>
      <c r="B18" s="85" t="s">
        <v>161</v>
      </c>
      <c r="C18" s="80">
        <f t="shared" si="0"/>
        <v>10.07</v>
      </c>
      <c r="D18" s="80">
        <f t="shared" si="1"/>
        <v>10.07</v>
      </c>
      <c r="E18" s="86">
        <f>'[1]B1-HTR-MDSD'!E54</f>
        <v>10.07</v>
      </c>
      <c r="F18" s="86">
        <v>0</v>
      </c>
      <c r="G18" s="86">
        <v>0</v>
      </c>
      <c r="H18" s="81" t="s">
        <v>162</v>
      </c>
      <c r="I18" s="81" t="s">
        <v>163</v>
      </c>
    </row>
    <row r="19" spans="1:9" ht="15" x14ac:dyDescent="0.2">
      <c r="A19" s="74">
        <v>6</v>
      </c>
      <c r="B19" s="75" t="s">
        <v>113</v>
      </c>
      <c r="C19" s="76">
        <f t="shared" si="0"/>
        <v>179.27999999999997</v>
      </c>
      <c r="D19" s="76">
        <f t="shared" si="1"/>
        <v>99.59</v>
      </c>
      <c r="E19" s="76">
        <f>E20</f>
        <v>86.740000000000009</v>
      </c>
      <c r="F19" s="76">
        <f>F20</f>
        <v>12.850000000000001</v>
      </c>
      <c r="G19" s="76">
        <f>G20</f>
        <v>79.689999999999984</v>
      </c>
      <c r="H19" s="87"/>
      <c r="I19" s="87"/>
    </row>
    <row r="20" spans="1:9" ht="15" x14ac:dyDescent="0.2">
      <c r="A20" s="83"/>
      <c r="B20" s="79" t="s">
        <v>164</v>
      </c>
      <c r="C20" s="80">
        <f t="shared" si="0"/>
        <v>179.27999999999997</v>
      </c>
      <c r="D20" s="80">
        <f t="shared" si="1"/>
        <v>99.59</v>
      </c>
      <c r="E20" s="80">
        <f>'[1]B1-HTR-MDSD'!E35</f>
        <v>86.740000000000009</v>
      </c>
      <c r="F20" s="80">
        <f>'[1]B1-HTR-MDSD'!F35</f>
        <v>12.850000000000001</v>
      </c>
      <c r="G20" s="80">
        <f>'[1]B1-HTR-MDSD'!G35</f>
        <v>79.689999999999984</v>
      </c>
      <c r="H20" s="81" t="s">
        <v>159</v>
      </c>
      <c r="I20" s="81" t="s">
        <v>160</v>
      </c>
    </row>
    <row r="21" spans="1:9" ht="15" x14ac:dyDescent="0.25">
      <c r="A21" s="74">
        <v>7</v>
      </c>
      <c r="B21" s="75" t="s">
        <v>112</v>
      </c>
      <c r="C21" s="76">
        <f t="shared" si="0"/>
        <v>1488.19</v>
      </c>
      <c r="D21" s="76">
        <f t="shared" si="1"/>
        <v>1157.0800000000002</v>
      </c>
      <c r="E21" s="76">
        <f>E22</f>
        <v>1123.46</v>
      </c>
      <c r="F21" s="76">
        <f>F22</f>
        <v>33.620000000000033</v>
      </c>
      <c r="G21" s="76">
        <f>G22</f>
        <v>331.11</v>
      </c>
      <c r="H21" s="88"/>
      <c r="I21" s="88"/>
    </row>
    <row r="22" spans="1:9" ht="15" x14ac:dyDescent="0.2">
      <c r="A22" s="83"/>
      <c r="B22" s="79" t="s">
        <v>165</v>
      </c>
      <c r="C22" s="80">
        <f t="shared" si="0"/>
        <v>1488.19</v>
      </c>
      <c r="D22" s="80">
        <f t="shared" si="1"/>
        <v>1157.0800000000002</v>
      </c>
      <c r="E22" s="80">
        <f>'[1]B1-HTR-MDSD'!E36</f>
        <v>1123.46</v>
      </c>
      <c r="F22" s="80">
        <f>'[1]B1-HTR-MDSD'!F36</f>
        <v>33.620000000000033</v>
      </c>
      <c r="G22" s="80">
        <f>'[1]B1-HTR-MDSD'!G36</f>
        <v>331.11</v>
      </c>
      <c r="H22" s="81" t="s">
        <v>159</v>
      </c>
      <c r="I22" s="81" t="s">
        <v>160</v>
      </c>
    </row>
    <row r="23" spans="1:9" ht="15" x14ac:dyDescent="0.25">
      <c r="A23" s="74">
        <v>8</v>
      </c>
      <c r="B23" s="75" t="s">
        <v>166</v>
      </c>
      <c r="C23" s="76">
        <f t="shared" si="0"/>
        <v>115.55</v>
      </c>
      <c r="D23" s="76">
        <f t="shared" si="1"/>
        <v>0</v>
      </c>
      <c r="E23" s="76">
        <f>E24</f>
        <v>0</v>
      </c>
      <c r="F23" s="76">
        <f>F24</f>
        <v>0</v>
      </c>
      <c r="G23" s="76">
        <f>G24</f>
        <v>115.55</v>
      </c>
      <c r="H23" s="88"/>
      <c r="I23" s="88"/>
    </row>
    <row r="24" spans="1:9" ht="15" x14ac:dyDescent="0.2">
      <c r="A24" s="78"/>
      <c r="B24" s="79" t="s">
        <v>158</v>
      </c>
      <c r="C24" s="80">
        <f t="shared" si="0"/>
        <v>115.55</v>
      </c>
      <c r="D24" s="80">
        <f t="shared" si="1"/>
        <v>0</v>
      </c>
      <c r="E24" s="80">
        <f>'[1]B1-HTR-MDSD'!D48</f>
        <v>0</v>
      </c>
      <c r="F24" s="80">
        <f>'[1]B1-HTR-MDSD'!F48</f>
        <v>0</v>
      </c>
      <c r="G24" s="80">
        <f>'[1]B1-HTR-MDSD'!G48</f>
        <v>115.55</v>
      </c>
      <c r="H24" s="81" t="s">
        <v>159</v>
      </c>
      <c r="I24" s="81" t="s">
        <v>160</v>
      </c>
    </row>
    <row r="25" spans="1:9" ht="15" x14ac:dyDescent="0.2">
      <c r="A25" s="74">
        <v>9</v>
      </c>
      <c r="B25" s="75" t="s">
        <v>126</v>
      </c>
      <c r="C25" s="76">
        <f t="shared" si="0"/>
        <v>1286.0700000000002</v>
      </c>
      <c r="D25" s="76">
        <f t="shared" si="1"/>
        <v>773.35000000000014</v>
      </c>
      <c r="E25" s="76">
        <f>E26+E27+E28</f>
        <v>554.62000000000012</v>
      </c>
      <c r="F25" s="76">
        <f>F26+F27+F28</f>
        <v>218.72999999999996</v>
      </c>
      <c r="G25" s="76">
        <f>G26+G27+G28</f>
        <v>512.72</v>
      </c>
      <c r="H25" s="82"/>
      <c r="I25" s="82"/>
    </row>
    <row r="26" spans="1:9" ht="15" x14ac:dyDescent="0.2">
      <c r="A26" s="83"/>
      <c r="B26" s="79" t="s">
        <v>167</v>
      </c>
      <c r="C26" s="80">
        <f t="shared" si="0"/>
        <v>1033.97</v>
      </c>
      <c r="D26" s="80">
        <f t="shared" si="1"/>
        <v>701.43000000000006</v>
      </c>
      <c r="E26" s="80">
        <f>'[1]B1-HTR-MDSD'!E19</f>
        <v>484.01000000000005</v>
      </c>
      <c r="F26" s="80">
        <f>'[1]B1-HTR-MDSD'!F19</f>
        <v>217.41999999999996</v>
      </c>
      <c r="G26" s="80">
        <f>'[1]B1-HTR-MDSD'!G19</f>
        <v>332.54</v>
      </c>
      <c r="H26" s="81" t="s">
        <v>152</v>
      </c>
      <c r="I26" s="81" t="s">
        <v>153</v>
      </c>
    </row>
    <row r="27" spans="1:9" ht="15" x14ac:dyDescent="0.2">
      <c r="A27" s="78"/>
      <c r="B27" s="79" t="s">
        <v>158</v>
      </c>
      <c r="C27" s="80">
        <f t="shared" si="0"/>
        <v>241.86000000000004</v>
      </c>
      <c r="D27" s="80">
        <f t="shared" si="1"/>
        <v>71.070000000000022</v>
      </c>
      <c r="E27" s="80">
        <f>'[1]B1-HTR-MDSD'!E47</f>
        <v>69.760000000000019</v>
      </c>
      <c r="F27" s="80">
        <f>'[1]B1-HTR-MDSD'!F47</f>
        <v>1.3099999999999996</v>
      </c>
      <c r="G27" s="80">
        <f>'[1]B1-HTR-MDSD'!G47</f>
        <v>170.79000000000002</v>
      </c>
      <c r="H27" s="81" t="s">
        <v>159</v>
      </c>
      <c r="I27" s="81" t="s">
        <v>160</v>
      </c>
    </row>
    <row r="28" spans="1:9" ht="30" x14ac:dyDescent="0.2">
      <c r="A28" s="78"/>
      <c r="B28" s="79" t="s">
        <v>168</v>
      </c>
      <c r="C28" s="80">
        <f t="shared" si="0"/>
        <v>10.240000000000002</v>
      </c>
      <c r="D28" s="80">
        <f t="shared" si="1"/>
        <v>0.85000000000000142</v>
      </c>
      <c r="E28" s="80">
        <f>'[1]B1-HTR-MDSD'!E55</f>
        <v>0.85000000000000142</v>
      </c>
      <c r="F28" s="80">
        <f>'[1]B1-HTR-MDSD'!F55</f>
        <v>0</v>
      </c>
      <c r="G28" s="80">
        <f>'[1]B1-HTR-MDSD'!G55</f>
        <v>9.39</v>
      </c>
      <c r="H28" s="81" t="s">
        <v>162</v>
      </c>
      <c r="I28" s="81" t="s">
        <v>169</v>
      </c>
    </row>
    <row r="29" spans="1:9" ht="15" x14ac:dyDescent="0.2">
      <c r="A29" s="74">
        <v>10</v>
      </c>
      <c r="B29" s="75" t="s">
        <v>106</v>
      </c>
      <c r="C29" s="76">
        <f t="shared" si="0"/>
        <v>279.60000000000002</v>
      </c>
      <c r="D29" s="76">
        <f t="shared" si="1"/>
        <v>122.78</v>
      </c>
      <c r="E29" s="76">
        <f>E30</f>
        <v>122.41</v>
      </c>
      <c r="F29" s="76">
        <f>F30</f>
        <v>0.37</v>
      </c>
      <c r="G29" s="76">
        <f>G30</f>
        <v>156.82</v>
      </c>
      <c r="H29" s="82"/>
      <c r="I29" s="82"/>
    </row>
    <row r="30" spans="1:9" ht="15" x14ac:dyDescent="0.2">
      <c r="A30" s="83"/>
      <c r="B30" s="79" t="s">
        <v>170</v>
      </c>
      <c r="C30" s="80">
        <f t="shared" si="0"/>
        <v>279.60000000000002</v>
      </c>
      <c r="D30" s="89">
        <f t="shared" si="1"/>
        <v>122.78</v>
      </c>
      <c r="E30" s="89">
        <f>'[1]B1-HTR-MDSD'!E16</f>
        <v>122.41</v>
      </c>
      <c r="F30" s="89">
        <f>'[1]B1-HTR-MDSD'!F16</f>
        <v>0.37</v>
      </c>
      <c r="G30" s="89">
        <f>'[1]B1-HTR-MDSD'!G16</f>
        <v>156.82</v>
      </c>
      <c r="H30" s="81" t="s">
        <v>156</v>
      </c>
      <c r="I30" s="81" t="s">
        <v>171</v>
      </c>
    </row>
    <row r="31" spans="1:9" ht="15" x14ac:dyDescent="0.2">
      <c r="A31" s="74">
        <v>11</v>
      </c>
      <c r="B31" s="75" t="s">
        <v>111</v>
      </c>
      <c r="C31" s="76">
        <f t="shared" si="0"/>
        <v>680.68</v>
      </c>
      <c r="D31" s="76">
        <f t="shared" si="1"/>
        <v>490.71</v>
      </c>
      <c r="E31" s="76">
        <f>E32</f>
        <v>443.84</v>
      </c>
      <c r="F31" s="76">
        <f>F32</f>
        <v>46.87</v>
      </c>
      <c r="G31" s="76">
        <f>G32</f>
        <v>189.97</v>
      </c>
      <c r="H31" s="87"/>
      <c r="I31" s="87"/>
    </row>
    <row r="32" spans="1:9" ht="15" x14ac:dyDescent="0.2">
      <c r="A32" s="83"/>
      <c r="B32" s="79" t="s">
        <v>172</v>
      </c>
      <c r="C32" s="80">
        <f t="shared" si="0"/>
        <v>680.68</v>
      </c>
      <c r="D32" s="80">
        <f t="shared" si="1"/>
        <v>490.71</v>
      </c>
      <c r="E32" s="80">
        <f>'[1]B1-HTR-MDSD'!E38</f>
        <v>443.84</v>
      </c>
      <c r="F32" s="80">
        <f>'[1]B1-HTR-MDSD'!F38</f>
        <v>46.87</v>
      </c>
      <c r="G32" s="80">
        <f>'[1]B1-HTR-MDSD'!G38</f>
        <v>189.97</v>
      </c>
      <c r="H32" s="81" t="s">
        <v>159</v>
      </c>
      <c r="I32" s="81" t="s">
        <v>160</v>
      </c>
    </row>
    <row r="33" spans="1:9" ht="15" x14ac:dyDescent="0.2">
      <c r="A33" s="74">
        <v>12</v>
      </c>
      <c r="B33" s="75" t="s">
        <v>110</v>
      </c>
      <c r="C33" s="76">
        <f t="shared" si="0"/>
        <v>273.44</v>
      </c>
      <c r="D33" s="76">
        <f t="shared" si="1"/>
        <v>121.99</v>
      </c>
      <c r="E33" s="76">
        <f>E34+E35</f>
        <v>117.56</v>
      </c>
      <c r="F33" s="76">
        <f>F34+F35</f>
        <v>4.4299999999999988</v>
      </c>
      <c r="G33" s="76">
        <f>G34+G35</f>
        <v>151.45000000000002</v>
      </c>
      <c r="H33" s="87"/>
      <c r="I33" s="87"/>
    </row>
    <row r="34" spans="1:9" ht="15" x14ac:dyDescent="0.2">
      <c r="A34" s="83"/>
      <c r="B34" s="79" t="s">
        <v>173</v>
      </c>
      <c r="C34" s="80">
        <f t="shared" si="0"/>
        <v>61.860000000000014</v>
      </c>
      <c r="D34" s="80">
        <f t="shared" si="1"/>
        <v>35.170000000000009</v>
      </c>
      <c r="E34" s="80">
        <f>'[1]B1-HTR-MDSD'!E15</f>
        <v>34.460000000000008</v>
      </c>
      <c r="F34" s="80">
        <f>'[1]B1-HTR-MDSD'!F15</f>
        <v>0.71</v>
      </c>
      <c r="G34" s="80">
        <f>'[1]B1-HTR-MDSD'!G15</f>
        <v>26.69</v>
      </c>
      <c r="H34" s="81" t="s">
        <v>156</v>
      </c>
      <c r="I34" s="81" t="s">
        <v>171</v>
      </c>
    </row>
    <row r="35" spans="1:9" ht="15" x14ac:dyDescent="0.2">
      <c r="A35" s="83"/>
      <c r="B35" s="90" t="s">
        <v>174</v>
      </c>
      <c r="C35" s="80">
        <f t="shared" si="0"/>
        <v>211.58</v>
      </c>
      <c r="D35" s="80">
        <f t="shared" si="1"/>
        <v>86.82</v>
      </c>
      <c r="E35" s="80">
        <f>'[1]B1-HTR-MDSD'!E37</f>
        <v>83.1</v>
      </c>
      <c r="F35" s="80">
        <f>'[1]B1-HTR-MDSD'!F37</f>
        <v>3.7199999999999989</v>
      </c>
      <c r="G35" s="80">
        <f>'[1]B1-HTR-MDSD'!G37</f>
        <v>124.76000000000002</v>
      </c>
      <c r="H35" s="81" t="s">
        <v>159</v>
      </c>
      <c r="I35" s="81" t="s">
        <v>175</v>
      </c>
    </row>
    <row r="36" spans="1:9" ht="15" x14ac:dyDescent="0.2">
      <c r="A36" s="74">
        <v>13</v>
      </c>
      <c r="B36" s="75" t="s">
        <v>121</v>
      </c>
      <c r="C36" s="76">
        <f t="shared" si="0"/>
        <v>864.79000000000008</v>
      </c>
      <c r="D36" s="76">
        <f t="shared" si="1"/>
        <v>84.89</v>
      </c>
      <c r="E36" s="76">
        <f>SUM(E37:E39)</f>
        <v>81.58</v>
      </c>
      <c r="F36" s="76">
        <f>SUM(F37:F39)</f>
        <v>3.31</v>
      </c>
      <c r="G36" s="76">
        <f>SUM(G37:G39)</f>
        <v>779.90000000000009</v>
      </c>
      <c r="H36" s="82"/>
      <c r="I36" s="82"/>
    </row>
    <row r="37" spans="1:9" ht="15" x14ac:dyDescent="0.2">
      <c r="A37" s="91"/>
      <c r="B37" s="92" t="s">
        <v>176</v>
      </c>
      <c r="C37" s="93">
        <f t="shared" si="0"/>
        <v>7.44</v>
      </c>
      <c r="D37" s="93">
        <f t="shared" si="1"/>
        <v>0</v>
      </c>
      <c r="E37" s="93">
        <f>'[1]B1-HTR-MDSD'!E40</f>
        <v>0</v>
      </c>
      <c r="F37" s="93">
        <f>'[1]B1-HTR-MDSD'!F40</f>
        <v>0</v>
      </c>
      <c r="G37" s="93">
        <f>'[1]B1-HTR-MDSD'!G40</f>
        <v>7.44</v>
      </c>
      <c r="H37" s="94" t="s">
        <v>159</v>
      </c>
      <c r="I37" s="81" t="s">
        <v>160</v>
      </c>
    </row>
    <row r="38" spans="1:9" ht="15" x14ac:dyDescent="0.2">
      <c r="A38" s="91"/>
      <c r="B38" s="92" t="s">
        <v>158</v>
      </c>
      <c r="C38" s="93">
        <f t="shared" si="0"/>
        <v>842.05000000000007</v>
      </c>
      <c r="D38" s="93">
        <f>E38+F38</f>
        <v>69.59</v>
      </c>
      <c r="E38" s="93">
        <f>'[1]B1-HTR-MDSD'!E49</f>
        <v>66.28</v>
      </c>
      <c r="F38" s="93">
        <f>'[1]B1-HTR-MDSD'!F49</f>
        <v>3.31</v>
      </c>
      <c r="G38" s="93">
        <f>'[1]B1-HTR-MDSD'!G49</f>
        <v>772.46</v>
      </c>
      <c r="H38" s="94" t="s">
        <v>159</v>
      </c>
      <c r="I38" s="81" t="s">
        <v>160</v>
      </c>
    </row>
    <row r="39" spans="1:9" ht="15" x14ac:dyDescent="0.2">
      <c r="A39" s="91"/>
      <c r="B39" s="92" t="s">
        <v>177</v>
      </c>
      <c r="C39" s="93">
        <v>15.3</v>
      </c>
      <c r="D39" s="93">
        <f t="shared" si="1"/>
        <v>15.3</v>
      </c>
      <c r="E39" s="93">
        <f>'[1]B1-HTR-MDSD'!E56</f>
        <v>15.3</v>
      </c>
      <c r="F39" s="93"/>
      <c r="G39" s="93"/>
      <c r="H39" s="94" t="s">
        <v>162</v>
      </c>
      <c r="I39" s="81" t="s">
        <v>178</v>
      </c>
    </row>
    <row r="40" spans="1:9" ht="15" x14ac:dyDescent="0.25">
      <c r="A40" s="74">
        <v>14</v>
      </c>
      <c r="B40" s="75" t="s">
        <v>122</v>
      </c>
      <c r="C40" s="76">
        <f t="shared" si="0"/>
        <v>1463.6100000000001</v>
      </c>
      <c r="D40" s="76">
        <f t="shared" si="1"/>
        <v>842.75</v>
      </c>
      <c r="E40" s="76">
        <f>SUM(E41:E44)</f>
        <v>764.68999999999994</v>
      </c>
      <c r="F40" s="76">
        <f>SUM(F41:F44)</f>
        <v>78.06</v>
      </c>
      <c r="G40" s="76">
        <f>SUM(G41:G44)</f>
        <v>620.86</v>
      </c>
      <c r="H40" s="88"/>
      <c r="I40" s="88"/>
    </row>
    <row r="41" spans="1:9" ht="15" x14ac:dyDescent="0.2">
      <c r="A41" s="78"/>
      <c r="B41" s="95" t="s">
        <v>176</v>
      </c>
      <c r="C41" s="80">
        <f t="shared" si="0"/>
        <v>3.01</v>
      </c>
      <c r="D41" s="80">
        <f t="shared" si="1"/>
        <v>1.6</v>
      </c>
      <c r="E41" s="80">
        <f>'[1]B1-HTR-MDSD'!E41</f>
        <v>0.68</v>
      </c>
      <c r="F41" s="80">
        <f>'[1]B1-HTR-MDSD'!F41</f>
        <v>0.92</v>
      </c>
      <c r="G41" s="80">
        <f>'[1]B1-HTR-MDSD'!G41</f>
        <v>1.41</v>
      </c>
      <c r="H41" s="81" t="s">
        <v>159</v>
      </c>
      <c r="I41" s="96" t="s">
        <v>160</v>
      </c>
    </row>
    <row r="42" spans="1:9" ht="15" x14ac:dyDescent="0.2">
      <c r="A42" s="78"/>
      <c r="B42" s="95" t="s">
        <v>158</v>
      </c>
      <c r="C42" s="80">
        <f t="shared" si="0"/>
        <v>562.76</v>
      </c>
      <c r="D42" s="80">
        <f t="shared" si="1"/>
        <v>28.89</v>
      </c>
      <c r="E42" s="80">
        <f>'[1]B1-HTR-MDSD'!E50</f>
        <v>26.79</v>
      </c>
      <c r="F42" s="80">
        <v>2.1</v>
      </c>
      <c r="G42" s="80">
        <v>533.87</v>
      </c>
      <c r="H42" s="81" t="s">
        <v>159</v>
      </c>
      <c r="I42" s="96" t="s">
        <v>160</v>
      </c>
    </row>
    <row r="43" spans="1:9" ht="15" x14ac:dyDescent="0.2">
      <c r="A43" s="78"/>
      <c r="B43" s="95" t="s">
        <v>179</v>
      </c>
      <c r="C43" s="80">
        <f t="shared" si="0"/>
        <v>790.32999999999993</v>
      </c>
      <c r="D43" s="80">
        <f t="shared" si="1"/>
        <v>756.83999999999992</v>
      </c>
      <c r="E43" s="80">
        <f>'[1]B1-HTR-MDSD'!E57</f>
        <v>685.56</v>
      </c>
      <c r="F43" s="80">
        <f>'[1]B1-HTR-MDSD'!F57</f>
        <v>71.28</v>
      </c>
      <c r="G43" s="80">
        <f>'[1]B1-HTR-MDSD'!G57</f>
        <v>33.490000000000009</v>
      </c>
      <c r="H43" s="81" t="s">
        <v>162</v>
      </c>
      <c r="I43" s="78" t="s">
        <v>175</v>
      </c>
    </row>
    <row r="44" spans="1:9" ht="30" x14ac:dyDescent="0.2">
      <c r="A44" s="83"/>
      <c r="B44" s="79" t="s">
        <v>180</v>
      </c>
      <c r="C44" s="80">
        <f t="shared" si="0"/>
        <v>107.51</v>
      </c>
      <c r="D44" s="80">
        <f>E44+F44</f>
        <v>55.42</v>
      </c>
      <c r="E44" s="80">
        <f>'[1]B1-HTR-MDSD'!E21</f>
        <v>51.66</v>
      </c>
      <c r="F44" s="80">
        <f>'[1]B1-HTR-MDSD'!F21</f>
        <v>3.7600000000000016</v>
      </c>
      <c r="G44" s="80">
        <f>'[1]B1-HTR-MDSD'!G21</f>
        <v>52.09</v>
      </c>
      <c r="H44" s="81" t="s">
        <v>152</v>
      </c>
      <c r="I44" s="81" t="s">
        <v>153</v>
      </c>
    </row>
    <row r="45" spans="1:9" ht="15" x14ac:dyDescent="0.25">
      <c r="A45" s="74">
        <v>15</v>
      </c>
      <c r="B45" s="75" t="s">
        <v>123</v>
      </c>
      <c r="C45" s="76">
        <f t="shared" si="0"/>
        <v>211.32999999999998</v>
      </c>
      <c r="D45" s="76">
        <f t="shared" ref="D45:D67" si="2">E45+F45</f>
        <v>103.39</v>
      </c>
      <c r="E45" s="76">
        <f>SUM(E46:E47)</f>
        <v>103.39</v>
      </c>
      <c r="F45" s="76">
        <f>SUM(F46:F47)</f>
        <v>0</v>
      </c>
      <c r="G45" s="76">
        <f>SUM(G46:G47)</f>
        <v>107.94</v>
      </c>
      <c r="H45" s="97"/>
      <c r="I45" s="97"/>
    </row>
    <row r="46" spans="1:9" ht="15" x14ac:dyDescent="0.2">
      <c r="A46" s="69"/>
      <c r="B46" s="95" t="s">
        <v>176</v>
      </c>
      <c r="C46" s="80">
        <f t="shared" si="0"/>
        <v>8.3800000000000008</v>
      </c>
      <c r="D46" s="80">
        <f t="shared" si="1"/>
        <v>0</v>
      </c>
      <c r="E46" s="80"/>
      <c r="F46" s="80"/>
      <c r="G46" s="80">
        <f>'[1]B1-HTR-MDSD'!G42</f>
        <v>8.3800000000000008</v>
      </c>
      <c r="H46" s="81" t="s">
        <v>159</v>
      </c>
      <c r="I46" s="81" t="s">
        <v>160</v>
      </c>
    </row>
    <row r="47" spans="1:9" ht="15" x14ac:dyDescent="0.2">
      <c r="A47" s="78"/>
      <c r="B47" s="79" t="s">
        <v>158</v>
      </c>
      <c r="C47" s="80">
        <f t="shared" si="0"/>
        <v>202.95</v>
      </c>
      <c r="D47" s="80">
        <f t="shared" si="1"/>
        <v>103.39</v>
      </c>
      <c r="E47" s="80">
        <f>'[1]B1-HTR-MDSD'!E51</f>
        <v>103.39</v>
      </c>
      <c r="F47" s="80">
        <f>'[1]B1-HTR-MDSD'!F51</f>
        <v>0</v>
      </c>
      <c r="G47" s="80">
        <f>'[1]B1-HTR-MDSD'!G51</f>
        <v>99.56</v>
      </c>
      <c r="H47" s="81" t="s">
        <v>159</v>
      </c>
      <c r="I47" s="81" t="s">
        <v>160</v>
      </c>
    </row>
    <row r="48" spans="1:9" ht="15" x14ac:dyDescent="0.25">
      <c r="A48" s="74">
        <v>16</v>
      </c>
      <c r="B48" s="75" t="s">
        <v>109</v>
      </c>
      <c r="C48" s="76">
        <f>D48+G48</f>
        <v>93.639999999999986</v>
      </c>
      <c r="D48" s="76">
        <f t="shared" si="2"/>
        <v>47.699999999999996</v>
      </c>
      <c r="E48" s="76">
        <f>SUM(E49:E50)</f>
        <v>46.199999999999996</v>
      </c>
      <c r="F48" s="76">
        <f>SUM(F49:F50)</f>
        <v>1.5</v>
      </c>
      <c r="G48" s="76">
        <f>SUM(G49:G50)</f>
        <v>45.94</v>
      </c>
      <c r="H48" s="88"/>
      <c r="I48" s="88"/>
    </row>
    <row r="49" spans="1:9" ht="15" x14ac:dyDescent="0.25">
      <c r="A49" s="69"/>
      <c r="B49" s="95" t="s">
        <v>176</v>
      </c>
      <c r="C49" s="80">
        <f t="shared" si="0"/>
        <v>1.04</v>
      </c>
      <c r="D49" s="80">
        <f t="shared" si="2"/>
        <v>1.04</v>
      </c>
      <c r="E49" s="80">
        <f>'[1]B1-HTR-MDSD'!E43</f>
        <v>1.04</v>
      </c>
      <c r="F49" s="80"/>
      <c r="G49" s="80"/>
      <c r="H49" s="81" t="s">
        <v>159</v>
      </c>
      <c r="I49" s="98"/>
    </row>
    <row r="50" spans="1:9" ht="15" x14ac:dyDescent="0.2">
      <c r="A50" s="69"/>
      <c r="B50" s="95" t="s">
        <v>158</v>
      </c>
      <c r="C50" s="80">
        <f t="shared" si="0"/>
        <v>92.6</v>
      </c>
      <c r="D50" s="80">
        <f t="shared" si="2"/>
        <v>46.66</v>
      </c>
      <c r="E50" s="80">
        <f>'[1]B1-HTR-MDSD'!E52</f>
        <v>45.16</v>
      </c>
      <c r="F50" s="80">
        <f>'[1]B1-HTR-MDSD'!F52</f>
        <v>1.5</v>
      </c>
      <c r="G50" s="80">
        <f>'[1]B1-HTR-MDSD'!G52</f>
        <v>45.94</v>
      </c>
      <c r="H50" s="81" t="s">
        <v>159</v>
      </c>
      <c r="I50" s="81" t="s">
        <v>160</v>
      </c>
    </row>
    <row r="51" spans="1:9" ht="15" x14ac:dyDescent="0.25">
      <c r="A51" s="74">
        <v>17</v>
      </c>
      <c r="B51" s="75" t="s">
        <v>117</v>
      </c>
      <c r="C51" s="76">
        <f t="shared" si="0"/>
        <v>60.95</v>
      </c>
      <c r="D51" s="76">
        <f t="shared" si="2"/>
        <v>60.95</v>
      </c>
      <c r="E51" s="76">
        <f>E52</f>
        <v>60.95</v>
      </c>
      <c r="F51" s="76">
        <f>F52</f>
        <v>0</v>
      </c>
      <c r="G51" s="76">
        <f>G52</f>
        <v>0</v>
      </c>
      <c r="H51" s="88"/>
      <c r="I51" s="88"/>
    </row>
    <row r="52" spans="1:9" ht="15" x14ac:dyDescent="0.2">
      <c r="A52" s="78"/>
      <c r="B52" s="79" t="s">
        <v>181</v>
      </c>
      <c r="C52" s="80">
        <f>D52+G52</f>
        <v>60.95</v>
      </c>
      <c r="D52" s="80">
        <f>E52+F52</f>
        <v>60.95</v>
      </c>
      <c r="E52" s="80">
        <f>'[1]B1-HTR-MDSD'!E23</f>
        <v>60.95</v>
      </c>
      <c r="F52" s="80"/>
      <c r="G52" s="80"/>
      <c r="H52" s="81" t="s">
        <v>152</v>
      </c>
      <c r="I52" s="81" t="s">
        <v>153</v>
      </c>
    </row>
    <row r="53" spans="1:9" ht="15" x14ac:dyDescent="0.25">
      <c r="A53" s="74">
        <v>18</v>
      </c>
      <c r="B53" s="75" t="s">
        <v>107</v>
      </c>
      <c r="C53" s="76">
        <f t="shared" si="0"/>
        <v>636.65</v>
      </c>
      <c r="D53" s="76">
        <f t="shared" si="2"/>
        <v>241.73000000000002</v>
      </c>
      <c r="E53" s="76">
        <f>SUM(E54:E55)</f>
        <v>241.73000000000002</v>
      </c>
      <c r="F53" s="76">
        <f>SUM(F54:F55)</f>
        <v>0</v>
      </c>
      <c r="G53" s="76">
        <f>SUM(G54:G55)</f>
        <v>394.91999999999996</v>
      </c>
      <c r="H53" s="88"/>
      <c r="I53" s="88"/>
    </row>
    <row r="54" spans="1:9" ht="15" x14ac:dyDescent="0.2">
      <c r="A54" s="78"/>
      <c r="B54" s="79" t="s">
        <v>181</v>
      </c>
      <c r="C54" s="80">
        <f>D54+G54</f>
        <v>506.37</v>
      </c>
      <c r="D54" s="80">
        <f>E54+F54</f>
        <v>207.8</v>
      </c>
      <c r="E54" s="80">
        <f>'[1]B1-HTR-MDSD'!E24</f>
        <v>207.8</v>
      </c>
      <c r="F54" s="80">
        <f>'[1]B1-HTR-MDSD'!F24</f>
        <v>0</v>
      </c>
      <c r="G54" s="80">
        <f>'[1]B1-HTR-MDSD'!G24</f>
        <v>298.57</v>
      </c>
      <c r="H54" s="81" t="s">
        <v>152</v>
      </c>
      <c r="I54" s="81" t="s">
        <v>153</v>
      </c>
    </row>
    <row r="55" spans="1:9" ht="15" x14ac:dyDescent="0.2">
      <c r="A55" s="78"/>
      <c r="B55" s="79" t="s">
        <v>177</v>
      </c>
      <c r="C55" s="99">
        <f>D55+G55</f>
        <v>130.28</v>
      </c>
      <c r="D55" s="80">
        <f>E55+F55</f>
        <v>33.93</v>
      </c>
      <c r="E55" s="100">
        <f>'[1]B1-HTR-MDSD'!E58</f>
        <v>33.93</v>
      </c>
      <c r="F55" s="80">
        <f>'[1]B1-HTR-MDSD'!F58</f>
        <v>0</v>
      </c>
      <c r="G55" s="99">
        <f>'[1]B1-HTR-MDSD'!G58</f>
        <v>96.35</v>
      </c>
      <c r="H55" s="81" t="s">
        <v>162</v>
      </c>
      <c r="I55" s="81" t="s">
        <v>178</v>
      </c>
    </row>
    <row r="56" spans="1:9" ht="15" x14ac:dyDescent="0.25">
      <c r="A56" s="74">
        <v>19</v>
      </c>
      <c r="B56" s="75" t="s">
        <v>116</v>
      </c>
      <c r="C56" s="76">
        <f>D56+G56</f>
        <v>575.66</v>
      </c>
      <c r="D56" s="76">
        <f t="shared" si="2"/>
        <v>12.1</v>
      </c>
      <c r="E56" s="76">
        <f>SUM(E57:E58)</f>
        <v>12.1</v>
      </c>
      <c r="F56" s="76">
        <f>SUM(F57:F58)</f>
        <v>0</v>
      </c>
      <c r="G56" s="76">
        <f>SUM(G57:G58)</f>
        <v>563.55999999999995</v>
      </c>
      <c r="H56" s="88"/>
      <c r="I56" s="88"/>
    </row>
    <row r="57" spans="1:9" ht="15" x14ac:dyDescent="0.2">
      <c r="A57" s="78"/>
      <c r="B57" s="79" t="s">
        <v>181</v>
      </c>
      <c r="C57" s="101">
        <f>D57+G57</f>
        <v>575.02</v>
      </c>
      <c r="D57" s="80">
        <f t="shared" si="2"/>
        <v>12.1</v>
      </c>
      <c r="E57" s="80">
        <f>'[1]B1-HTR-MDSD'!E25</f>
        <v>12.1</v>
      </c>
      <c r="F57" s="80">
        <f>'[1]B1-HTR-MDSD'!F25</f>
        <v>0</v>
      </c>
      <c r="G57" s="80">
        <f>'[1]B1-HTR-MDSD'!G25</f>
        <v>562.91999999999996</v>
      </c>
      <c r="H57" s="81" t="s">
        <v>152</v>
      </c>
      <c r="I57" s="81" t="s">
        <v>153</v>
      </c>
    </row>
    <row r="58" spans="1:9" ht="15" x14ac:dyDescent="0.2">
      <c r="A58" s="78"/>
      <c r="B58" s="79" t="s">
        <v>178</v>
      </c>
      <c r="C58" s="99">
        <f>D58+G58</f>
        <v>0.64</v>
      </c>
      <c r="D58" s="80"/>
      <c r="E58" s="80"/>
      <c r="F58" s="80"/>
      <c r="G58" s="80">
        <f>'[1]B1-HTR-MDSD'!G59</f>
        <v>0.64</v>
      </c>
      <c r="H58" s="81" t="s">
        <v>162</v>
      </c>
      <c r="I58" s="81" t="s">
        <v>178</v>
      </c>
    </row>
    <row r="59" spans="1:9" ht="15" x14ac:dyDescent="0.25">
      <c r="A59" s="74">
        <v>20</v>
      </c>
      <c r="B59" s="75" t="s">
        <v>108</v>
      </c>
      <c r="C59" s="76">
        <f t="shared" si="0"/>
        <v>562.51</v>
      </c>
      <c r="D59" s="76">
        <f t="shared" si="2"/>
        <v>75.03</v>
      </c>
      <c r="E59" s="76">
        <f>SUM(E60:E61)</f>
        <v>75.03</v>
      </c>
      <c r="F59" s="76">
        <f>SUM(F60:F61)</f>
        <v>0</v>
      </c>
      <c r="G59" s="76">
        <f>SUM(G60:G61)</f>
        <v>487.48</v>
      </c>
      <c r="H59" s="88"/>
      <c r="I59" s="88"/>
    </row>
    <row r="60" spans="1:9" ht="15" x14ac:dyDescent="0.25">
      <c r="A60" s="69"/>
      <c r="B60" s="79" t="s">
        <v>176</v>
      </c>
      <c r="C60" s="80">
        <f t="shared" si="0"/>
        <v>50.48</v>
      </c>
      <c r="D60" s="80"/>
      <c r="E60" s="80"/>
      <c r="F60" s="80"/>
      <c r="G60" s="80">
        <f>'[1]B1-HTR-MDSD'!G30</f>
        <v>50.48</v>
      </c>
      <c r="H60" s="81" t="s">
        <v>152</v>
      </c>
      <c r="I60" s="102"/>
    </row>
    <row r="61" spans="1:9" ht="15" x14ac:dyDescent="0.2">
      <c r="A61" s="78"/>
      <c r="B61" s="79" t="s">
        <v>181</v>
      </c>
      <c r="C61" s="80">
        <f t="shared" si="0"/>
        <v>512.03</v>
      </c>
      <c r="D61" s="80">
        <f t="shared" si="2"/>
        <v>75.03</v>
      </c>
      <c r="E61" s="80">
        <f>'[1]B1-HTR-MDSD'!E26</f>
        <v>75.03</v>
      </c>
      <c r="F61" s="80">
        <f>'[1]B1-HTR-MDSD'!F26</f>
        <v>0</v>
      </c>
      <c r="G61" s="99">
        <f>'[1]B1-HTR-MDSD'!G26</f>
        <v>437</v>
      </c>
      <c r="H61" s="81" t="s">
        <v>152</v>
      </c>
      <c r="I61" s="81" t="s">
        <v>153</v>
      </c>
    </row>
    <row r="62" spans="1:9" ht="15" x14ac:dyDescent="0.25">
      <c r="A62" s="74">
        <v>21</v>
      </c>
      <c r="B62" s="75" t="s">
        <v>182</v>
      </c>
      <c r="C62" s="76">
        <f t="shared" si="0"/>
        <v>45.76</v>
      </c>
      <c r="D62" s="76">
        <f t="shared" si="2"/>
        <v>26.02</v>
      </c>
      <c r="E62" s="76">
        <f>SUM(E63:E64)</f>
        <v>23.08</v>
      </c>
      <c r="F62" s="76">
        <f>SUM(F63:F64)</f>
        <v>2.94</v>
      </c>
      <c r="G62" s="76">
        <f>SUM(G63:G64)</f>
        <v>19.739999999999998</v>
      </c>
      <c r="H62" s="88"/>
      <c r="I62" s="88"/>
    </row>
    <row r="63" spans="1:9" ht="15" x14ac:dyDescent="0.25">
      <c r="A63" s="69"/>
      <c r="B63" s="95" t="s">
        <v>176</v>
      </c>
      <c r="C63" s="80">
        <f t="shared" si="0"/>
        <v>22.68</v>
      </c>
      <c r="D63" s="80">
        <f t="shared" si="2"/>
        <v>2.94</v>
      </c>
      <c r="E63" s="80">
        <f>'[1]B1-HTR-MDSD'!E31</f>
        <v>0</v>
      </c>
      <c r="F63" s="80">
        <f>'[1]B1-HTR-MDSD'!F31</f>
        <v>2.94</v>
      </c>
      <c r="G63" s="80">
        <f>'[1]B1-HTR-MDSD'!G31</f>
        <v>19.739999999999998</v>
      </c>
      <c r="H63" s="81" t="s">
        <v>152</v>
      </c>
      <c r="I63" s="102"/>
    </row>
    <row r="64" spans="1:9" ht="15" x14ac:dyDescent="0.2">
      <c r="A64" s="78"/>
      <c r="B64" s="79" t="s">
        <v>181</v>
      </c>
      <c r="C64" s="80">
        <f t="shared" si="0"/>
        <v>23.08</v>
      </c>
      <c r="D64" s="80">
        <f t="shared" si="2"/>
        <v>23.08</v>
      </c>
      <c r="E64" s="80">
        <f>'[1]B1-HTR-MDSD'!E27</f>
        <v>23.08</v>
      </c>
      <c r="F64" s="80">
        <f>'[1]B1-HTR-MDSD'!F27</f>
        <v>0</v>
      </c>
      <c r="G64" s="80">
        <f>'[1]B1-HTR-MDSD'!G27</f>
        <v>0</v>
      </c>
      <c r="H64" s="81" t="s">
        <v>152</v>
      </c>
      <c r="I64" s="81" t="s">
        <v>153</v>
      </c>
    </row>
    <row r="65" spans="1:9" ht="15" x14ac:dyDescent="0.25">
      <c r="A65" s="74">
        <v>22</v>
      </c>
      <c r="B65" s="75" t="s">
        <v>124</v>
      </c>
      <c r="C65" s="76">
        <f t="shared" si="0"/>
        <v>24.36</v>
      </c>
      <c r="D65" s="76">
        <f t="shared" si="2"/>
        <v>24.36</v>
      </c>
      <c r="E65" s="76">
        <f>E66</f>
        <v>24.36</v>
      </c>
      <c r="F65" s="76">
        <f>F66</f>
        <v>0</v>
      </c>
      <c r="G65" s="76">
        <f>G66</f>
        <v>0</v>
      </c>
      <c r="H65" s="88"/>
      <c r="I65" s="88"/>
    </row>
    <row r="66" spans="1:9" ht="15" x14ac:dyDescent="0.2">
      <c r="A66" s="78"/>
      <c r="B66" s="95" t="s">
        <v>176</v>
      </c>
      <c r="C66" s="80">
        <f t="shared" si="0"/>
        <v>24.36</v>
      </c>
      <c r="D66" s="80">
        <f t="shared" si="2"/>
        <v>24.36</v>
      </c>
      <c r="E66" s="80">
        <f>'[1]B1-HTR-MDSD'!E33</f>
        <v>24.36</v>
      </c>
      <c r="F66" s="80">
        <f>'[1]B1-HTR-MDSD'!F33</f>
        <v>0</v>
      </c>
      <c r="G66" s="80">
        <f>'[1]B1-HTR-MDSD'!G33</f>
        <v>0</v>
      </c>
      <c r="H66" s="81" t="s">
        <v>152</v>
      </c>
      <c r="I66" s="81" t="s">
        <v>153</v>
      </c>
    </row>
    <row r="67" spans="1:9" ht="15" x14ac:dyDescent="0.25">
      <c r="A67" s="74">
        <v>23</v>
      </c>
      <c r="B67" s="75" t="s">
        <v>120</v>
      </c>
      <c r="C67" s="76">
        <f t="shared" si="0"/>
        <v>5065.6399999999994</v>
      </c>
      <c r="D67" s="76">
        <f t="shared" si="2"/>
        <v>851.93999999999994</v>
      </c>
      <c r="E67" s="76">
        <f>SUM(E68:E71)</f>
        <v>848.57999999999993</v>
      </c>
      <c r="F67" s="76">
        <f>SUM(F68:F71)</f>
        <v>3.3600000000000003</v>
      </c>
      <c r="G67" s="76">
        <f>SUM(G68:G71)</f>
        <v>4213.7</v>
      </c>
      <c r="H67" s="88"/>
      <c r="I67" s="88"/>
    </row>
    <row r="68" spans="1:9" ht="15" x14ac:dyDescent="0.2">
      <c r="A68" s="69"/>
      <c r="B68" s="95" t="s">
        <v>181</v>
      </c>
      <c r="C68" s="80">
        <f t="shared" si="0"/>
        <v>825.25</v>
      </c>
      <c r="D68" s="80">
        <f>E68+F68</f>
        <v>692.58</v>
      </c>
      <c r="E68" s="80">
        <f>'[1]B1-HTR-MDSD'!E28</f>
        <v>692.13</v>
      </c>
      <c r="F68" s="80">
        <f>'[1]B1-HTR-MDSD'!F28</f>
        <v>0.45</v>
      </c>
      <c r="G68" s="80">
        <f>'[1]B1-HTR-MDSD'!G28</f>
        <v>132.66999999999999</v>
      </c>
      <c r="H68" s="81" t="s">
        <v>152</v>
      </c>
      <c r="I68" s="81" t="s">
        <v>153</v>
      </c>
    </row>
    <row r="69" spans="1:9" ht="15" x14ac:dyDescent="0.2">
      <c r="A69" s="78"/>
      <c r="B69" s="95" t="s">
        <v>183</v>
      </c>
      <c r="C69" s="80">
        <f>D69+G69</f>
        <v>1372.6799999999998</v>
      </c>
      <c r="D69" s="80">
        <f>E69+F69</f>
        <v>159.35999999999999</v>
      </c>
      <c r="E69" s="80">
        <f>'[1]B1-HTR-MDSD'!E32</f>
        <v>156.44999999999999</v>
      </c>
      <c r="F69" s="80">
        <f>'[1]B1-HTR-MDSD'!F32</f>
        <v>2.91</v>
      </c>
      <c r="G69" s="80">
        <f>'[1]B1-HTR-MDSD'!G32</f>
        <v>1213.32</v>
      </c>
      <c r="H69" s="81" t="s">
        <v>152</v>
      </c>
      <c r="I69" s="81" t="s">
        <v>153</v>
      </c>
    </row>
    <row r="70" spans="1:9" ht="15" x14ac:dyDescent="0.2">
      <c r="A70" s="69"/>
      <c r="B70" s="95" t="s">
        <v>176</v>
      </c>
      <c r="C70" s="80">
        <f>D70+G70</f>
        <v>2864.48</v>
      </c>
      <c r="D70" s="80">
        <f>E70+F70</f>
        <v>0</v>
      </c>
      <c r="E70" s="80"/>
      <c r="F70" s="80"/>
      <c r="G70" s="80">
        <f>'[1]B1-HTR-MDSD'!G44</f>
        <v>2864.48</v>
      </c>
      <c r="H70" s="81" t="s">
        <v>159</v>
      </c>
      <c r="I70" s="81"/>
    </row>
    <row r="71" spans="1:9" ht="15" x14ac:dyDescent="0.2">
      <c r="A71" s="78"/>
      <c r="B71" s="79" t="s">
        <v>184</v>
      </c>
      <c r="C71" s="80">
        <f>D71+G71</f>
        <v>3.23</v>
      </c>
      <c r="D71" s="80">
        <f>E71+F71</f>
        <v>0</v>
      </c>
      <c r="E71" s="80"/>
      <c r="F71" s="80"/>
      <c r="G71" s="80">
        <f>'[1]B1-HTR-MDSD'!G60</f>
        <v>3.23</v>
      </c>
      <c r="H71" s="81" t="s">
        <v>162</v>
      </c>
      <c r="I71" s="81"/>
    </row>
  </sheetData>
  <mergeCells count="10">
    <mergeCell ref="D4:D5"/>
    <mergeCell ref="E4:F4"/>
    <mergeCell ref="G4:G5"/>
    <mergeCell ref="A1:I1"/>
    <mergeCell ref="A3:A5"/>
    <mergeCell ref="B3:B5"/>
    <mergeCell ref="C3:C5"/>
    <mergeCell ref="D3:G3"/>
    <mergeCell ref="H3:H5"/>
    <mergeCell ref="I3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Bieu01</vt:lpstr>
      <vt:lpstr>Bieu02</vt:lpstr>
      <vt:lpstr>Bieu03</vt:lpstr>
      <vt:lpstr>Bieu04</vt:lpstr>
      <vt:lpstr>Bieu05</vt:lpstr>
      <vt:lpstr>__bookmark_1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PHUC88 NGUYEN</dc:creator>
  <cp:lastModifiedBy>PHUC88 NGUYEN</cp:lastModifiedBy>
  <dcterms:created xsi:type="dcterms:W3CDTF">2026-04-10T07:16:55Z</dcterms:created>
  <dcterms:modified xsi:type="dcterms:W3CDTF">2026-04-10T08:17:07Z</dcterms:modified>
</cp:coreProperties>
</file>